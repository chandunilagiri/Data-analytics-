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600" windowWidth="25125" windowHeight="12420" activeTab="1"/>
  </bookViews>
  <sheets>
    <sheet name="Sheet1" sheetId="3" r:id="rId1"/>
    <sheet name="Sheet3" sheetId="4" r:id="rId2"/>
    <sheet name="Sheet2" sheetId="2" r:id="rId3"/>
  </sheets>
  <definedNames>
    <definedName name="Slicer_Actual_amount">#N/A</definedName>
    <definedName name="Slicer_Category">#N/A</definedName>
    <definedName name="Slicer_Discrip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<sst xmlns="http://schemas.openxmlformats.org/spreadsheetml/2006/main" count="203" uniqueCount="48">
  <si>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</si>
  <si>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</si>
  <si>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</si>
  <si>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</si>
  <si>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</si>
  <si>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</si>
  <si>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</si>
  <si>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</si>
  <si>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</si>
  <si>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</si>
  <si>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</si>
  <si>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</si>
  <si>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</si>
  <si>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</si>
  <si>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</si>
  <si>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</si>
  <si>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</si>
  <si>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</si>
  <si>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</si>
  <si>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</si>
  <si>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</si>
  <si>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</si>
  <si>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</si>
  <si>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</si>
  <si>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</si>
  <si>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</si>
  <si>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</si>
  <si>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</si>
  <si>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</si>
  <si>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</si>
  <si>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</si>
  <si>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</si>
  <si>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</si>
  <si>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</si>
  <si>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</si>
  <si>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</si>
  <si>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</si>
  <si>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</si>
  <si>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</si>
  <si>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</si>
  <si>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</si>
  <si>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</si>
  <si>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</si>
  <si>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</si>
  <si>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Count of Month</t>
  </si>
  <si>
    <t>Count of Category</t>
  </si>
  <si>
    <t>Count of Discription</t>
  </si>
  <si>
    <t>Sum of Actual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</si>
</sst>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5">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14" fontId="0" fillId="0" borderId="0" xfId="0" applyNumberFormat="1"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[chandu.4af.xlsx]Sheet1!PivotTable5</c:name>
    <c:fmtId val="8"/>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Total</c:v>
                </c:pt>
              </c:strCache>
            </c:strRef>
          </c:tx>
          <c:spPr>
            <a:solidFill>
              <a:schemeClr val="accent1"/>
            </a:solidFill>
            <a:ln>
              <a:noFill/>
            </a:ln>
            <a:effectLst/>
            <a:sp3d/>
          </c:spPr>
          <c:invertIfNegative val="0"/>
          <c:cat>
            <c:strRef>
              <c:f>Sheet1!$D$4:$D$64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Sheet1!$E$4:$E$64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dLbls>
        <c:gapWidth val="159"/>
        <c:gapDepth val="148"/>
        <c:shape val="box"/>
        <c:axId val="406980984"/>
        <c:axId val="406986864"/>
        <c:axId val="0"/>
      </c:bar3DChart>
      <c:catAx>
        <c:axId val="406980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6864"/>
        <c:crosses val="autoZero"/>
        <c:auto val="1"/>
        <c:lblAlgn val="ctr"/>
        <c:lblOffset val="100"/>
        <c:noMultiLvlLbl val="0"/>
      </c:catAx>
      <c:valAx>
        <c:axId val="40698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0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[chandu.4af.xlsx]Sheet1!PivotTable6</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dPt>
            <c:idx val="53"/>
            <c:bubble3D val="0"/>
            <c:spPr>
              <a:solidFill>
                <a:schemeClr val="accent6">
                  <a:lumMod val="50000"/>
                  <a:lumOff val="50000"/>
                </a:schemeClr>
              </a:solidFill>
              <a:ln w="25400">
                <a:solidFill>
                  <a:schemeClr val="lt1"/>
                </a:solidFill>
              </a:ln>
              <a:effectLst/>
              <a:sp3d contourW="25400">
                <a:contourClr>
                  <a:schemeClr val="lt1"/>
                </a:contourClr>
              </a:sp3d>
            </c:spPr>
          </c:dPt>
          <c:dPt>
            <c:idx val="54"/>
            <c:bubble3D val="0"/>
            <c:spPr>
              <a:solidFill>
                <a:schemeClr val="accent1"/>
              </a:solidFill>
              <a:ln w="25400">
                <a:solidFill>
                  <a:schemeClr val="lt1"/>
                </a:solidFill>
              </a:ln>
              <a:effectLst/>
              <a:sp3d contourW="25400">
                <a:contourClr>
                  <a:schemeClr val="lt1"/>
                </a:contourClr>
              </a:sp3d>
            </c:spPr>
          </c:dPt>
          <c:dPt>
            <c:idx val="55"/>
            <c:bubble3D val="0"/>
            <c:spPr>
              <a:solidFill>
                <a:schemeClr val="accent2"/>
              </a:solidFill>
              <a:ln w="25400">
                <a:solidFill>
                  <a:schemeClr val="lt1"/>
                </a:solidFill>
              </a:ln>
              <a:effectLst/>
              <a:sp3d contourW="25400">
                <a:contourClr>
                  <a:schemeClr val="lt1"/>
                </a:contourClr>
              </a:sp3d>
            </c:spPr>
          </c:dPt>
          <c:dPt>
            <c:idx val="56"/>
            <c:bubble3D val="0"/>
            <c:spPr>
              <a:solidFill>
                <a:schemeClr val="accent3"/>
              </a:solidFill>
              <a:ln w="25400">
                <a:solidFill>
                  <a:schemeClr val="lt1"/>
                </a:solidFill>
              </a:ln>
              <a:effectLst/>
              <a:sp3d contourW="25400">
                <a:contourClr>
                  <a:schemeClr val="lt1"/>
                </a:contourClr>
              </a:sp3d>
            </c:spPr>
          </c:dPt>
          <c:dPt>
            <c:idx val="57"/>
            <c:bubble3D val="0"/>
            <c:spPr>
              <a:solidFill>
                <a:schemeClr val="accent4"/>
              </a:solidFill>
              <a:ln w="25400">
                <a:solidFill>
                  <a:schemeClr val="lt1"/>
                </a:solidFill>
              </a:ln>
              <a:effectLst/>
              <a:sp3d contourW="25400">
                <a:contourClr>
                  <a:schemeClr val="lt1"/>
                </a:contourClr>
              </a:sp3d>
            </c:spPr>
          </c:dPt>
          <c:dPt>
            <c:idx val="58"/>
            <c:bubble3D val="0"/>
            <c:spPr>
              <a:solidFill>
                <a:schemeClr val="accent5"/>
              </a:solidFill>
              <a:ln w="25400">
                <a:solidFill>
                  <a:schemeClr val="lt1"/>
                </a:solidFill>
              </a:ln>
              <a:effectLst/>
              <a:sp3d contourW="25400">
                <a:contourClr>
                  <a:schemeClr val="lt1"/>
                </a:contourClr>
              </a:sp3d>
            </c:spPr>
          </c:dPt>
          <c:dPt>
            <c:idx val="59"/>
            <c:bubble3D val="0"/>
            <c:spPr>
              <a:solidFill>
                <a:schemeClr val="accent6"/>
              </a:solidFill>
              <a:ln w="25400">
                <a:solidFill>
                  <a:schemeClr val="lt1"/>
                </a:solidFill>
              </a:ln>
              <a:effectLst/>
              <a:sp3d contourW="25400">
                <a:contourClr>
                  <a:schemeClr val="lt1"/>
                </a:contourClr>
              </a:sp3d>
            </c:spPr>
          </c:dPt>
          <c:cat>
            <c:strRef>
              <c:f>Sheet1!$H$4:$H$64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Sheet1!$I$4:$I$64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[chandu.4af.xlsx]Sheet1!PivotTable7</c:name>
    <c:fmtId val="4"/>
  </c:pivotSource>
  <c:chart>
    <c:autoTitleDeleted val="1"/>
    <c:pivotFmts>
      <c:pivotFmt>
        <c:idx val="0"/>
        <c:spPr>
          <a:solidFill>
            <a:schemeClr val="accent1"/>
          </a:solidFill>
          <a:ln>
            <a:noFill/>
          </a:ln>
          <a:effectLst/>
        </c:spPr>
        <c:marker>
          <c:symbol val="none"/>
        </c:marker>
      </c:pivotFmt>
    </c:pivotFmts>
    <c:plotArea>
      <c:layout/>
      <c:areaChart>
        <c:grouping val="stacked"/>
        <c:varyColors val="0"/>
        <c:ser>
          <c:idx val="0"/>
          <c:order val="0"/>
          <c:tx>
            <c:strRef>
              <c:f>Sheet1!$N$3</c:f>
              <c:strCache>
                <c:ptCount val="1"/>
                <c:pt idx="0">
                  <c:v>Total</c:v>
                </c:pt>
              </c:strCache>
            </c:strRef>
          </c:tx>
          <c:spPr>
            <a:solidFill>
              <a:schemeClr val="accent1"/>
            </a:solidFill>
            <a:ln>
              <a:noFill/>
            </a:ln>
            <a:effectLst/>
          </c:spPr>
          <c:cat>
            <c:strRef>
              <c:f>Sheet1!$M$4:$M$64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Sheet1!$N$4:$N$64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axId val="406984512"/>
        <c:axId val="406982944"/>
      </c:areaChart>
      <c:catAx>
        <c:axId val="406984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2944"/>
        <c:crosses val="autoZero"/>
        <c:auto val="1"/>
        <c:lblAlgn val="ctr"/>
        <c:lblOffset val="100"/>
        <c:noMultiLvlLbl val="0"/>
      </c:catAx>
      <c:valAx>
        <c:axId val="40698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451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[chandu.4af.xlsx]Sheet1!PivotTable5</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Total</c:v>
                </c:pt>
              </c:strCache>
            </c:strRef>
          </c:tx>
          <c:spPr>
            <a:solidFill>
              <a:schemeClr val="accent1"/>
            </a:solidFill>
            <a:ln>
              <a:noFill/>
            </a:ln>
            <a:effectLst/>
            <a:sp3d/>
          </c:spPr>
          <c:invertIfNegative val="0"/>
          <c:cat>
            <c:strRef>
              <c:f>Sheet1!$D$4:$D$64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Sheet1!$E$4:$E$64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dLbls>
        <c:gapWidth val="159"/>
        <c:gapDepth val="148"/>
        <c:shape val="box"/>
        <c:axId val="406989608"/>
        <c:axId val="406983336"/>
        <c:axId val="0"/>
      </c:bar3DChart>
      <c:catAx>
        <c:axId val="406989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3336"/>
        <c:crosses val="autoZero"/>
        <c:auto val="1"/>
        <c:lblAlgn val="ctr"/>
        <c:lblOffset val="100"/>
        <c:noMultiLvlLbl val="0"/>
      </c:catAx>
      <c:valAx>
        <c:axId val="406983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9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[chandu.4af.xlsx]Sheet1!PivotTable7</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cked"/>
        <c:varyColors val="0"/>
        <c:ser>
          <c:idx val="0"/>
          <c:order val="0"/>
          <c:tx>
            <c:strRef>
              <c:f>Sheet1!$N$3</c:f>
              <c:strCache>
                <c:ptCount val="1"/>
                <c:pt idx="0">
                  <c:v>Total</c:v>
                </c:pt>
              </c:strCache>
            </c:strRef>
          </c:tx>
          <c:spPr>
            <a:solidFill>
              <a:schemeClr val="accent1"/>
            </a:solidFill>
            <a:ln>
              <a:noFill/>
            </a:ln>
            <a:effectLst/>
          </c:spPr>
          <c:cat>
            <c:strRef>
              <c:f>Sheet1!$M$4:$M$64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Sheet1!$N$4:$N$64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axId val="406981768"/>
        <c:axId val="406987648"/>
      </c:areaChart>
      <c:catAx>
        <c:axId val="406981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7648"/>
        <c:crosses val="autoZero"/>
        <c:auto val="1"/>
        <c:lblAlgn val="ctr"/>
        <c:lblOffset val="100"/>
        <c:noMultiLvlLbl val="0"/>
      </c:catAx>
      <c:valAx>
        <c:axId val="40698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176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[chandu.4af.xlsx]Sheet1!PivotTable6</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marker>
          <c:symbol val="none"/>
        </c:marke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marker>
          <c:symbol val="none"/>
        </c:marke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marker>
          <c:symbol val="none"/>
        </c:marke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
        <c:idx val="202"/>
        <c:spPr>
          <a:solidFill>
            <a:schemeClr val="accent1"/>
          </a:solidFill>
          <a:ln w="25400">
            <a:solidFill>
              <a:schemeClr val="lt1"/>
            </a:solidFill>
          </a:ln>
          <a:effectLst/>
          <a:sp3d contourW="25400">
            <a:contourClr>
              <a:schemeClr val="lt1"/>
            </a:contourClr>
          </a:sp3d>
        </c:spPr>
      </c:pivotFmt>
      <c:pivotFmt>
        <c:idx val="203"/>
        <c:spPr>
          <a:solidFill>
            <a:schemeClr val="accent1"/>
          </a:solidFill>
          <a:ln w="25400">
            <a:solidFill>
              <a:schemeClr val="lt1"/>
            </a:solidFill>
          </a:ln>
          <a:effectLst/>
          <a:sp3d contourW="25400">
            <a:contourClr>
              <a:schemeClr val="lt1"/>
            </a:contourClr>
          </a:sp3d>
        </c:spPr>
      </c:pivotFmt>
      <c:pivotFmt>
        <c:idx val="204"/>
        <c:spPr>
          <a:solidFill>
            <a:schemeClr val="accent1"/>
          </a:solidFill>
          <a:ln w="25400">
            <a:solidFill>
              <a:schemeClr val="lt1"/>
            </a:solidFill>
          </a:ln>
          <a:effectLst/>
          <a:sp3d contourW="25400">
            <a:contourClr>
              <a:schemeClr val="lt1"/>
            </a:contourClr>
          </a:sp3d>
        </c:spPr>
      </c:pivotFmt>
      <c:pivotFmt>
        <c:idx val="205"/>
        <c:spPr>
          <a:solidFill>
            <a:schemeClr val="accent1"/>
          </a:solidFill>
          <a:ln w="25400">
            <a:solidFill>
              <a:schemeClr val="lt1"/>
            </a:solidFill>
          </a:ln>
          <a:effectLst/>
          <a:sp3d contourW="25400">
            <a:contourClr>
              <a:schemeClr val="lt1"/>
            </a:contourClr>
          </a:sp3d>
        </c:spPr>
      </c:pivotFmt>
      <c:pivotFmt>
        <c:idx val="206"/>
        <c:spPr>
          <a:solidFill>
            <a:schemeClr val="accent1"/>
          </a:solidFill>
          <a:ln w="25400">
            <a:solidFill>
              <a:schemeClr val="lt1"/>
            </a:solidFill>
          </a:ln>
          <a:effectLst/>
          <a:sp3d contourW="25400">
            <a:contourClr>
              <a:schemeClr val="lt1"/>
            </a:contourClr>
          </a:sp3d>
        </c:spPr>
      </c:pivotFmt>
      <c:pivotFmt>
        <c:idx val="207"/>
        <c:spPr>
          <a:solidFill>
            <a:schemeClr val="accent1"/>
          </a:solidFill>
          <a:ln w="25400">
            <a:solidFill>
              <a:schemeClr val="lt1"/>
            </a:solidFill>
          </a:ln>
          <a:effectLst/>
          <a:sp3d contourW="25400">
            <a:contourClr>
              <a:schemeClr val="lt1"/>
            </a:contourClr>
          </a:sp3d>
        </c:spPr>
      </c:pivotFmt>
      <c:pivotFmt>
        <c:idx val="208"/>
        <c:spPr>
          <a:solidFill>
            <a:schemeClr val="accent1"/>
          </a:solidFill>
          <a:ln w="25400">
            <a:solidFill>
              <a:schemeClr val="lt1"/>
            </a:solidFill>
          </a:ln>
          <a:effectLst/>
          <a:sp3d contourW="25400">
            <a:contourClr>
              <a:schemeClr val="lt1"/>
            </a:contourClr>
          </a:sp3d>
        </c:spPr>
      </c:pivotFmt>
      <c:pivotFmt>
        <c:idx val="209"/>
        <c:spPr>
          <a:solidFill>
            <a:schemeClr val="accent1"/>
          </a:solidFill>
          <a:ln w="25400">
            <a:solidFill>
              <a:schemeClr val="lt1"/>
            </a:solidFill>
          </a:ln>
          <a:effectLst/>
          <a:sp3d contourW="25400">
            <a:contourClr>
              <a:schemeClr val="lt1"/>
            </a:contourClr>
          </a:sp3d>
        </c:spPr>
      </c:pivotFmt>
      <c:pivotFmt>
        <c:idx val="210"/>
        <c:spPr>
          <a:solidFill>
            <a:schemeClr val="accent1"/>
          </a:solidFill>
          <a:ln w="25400">
            <a:solidFill>
              <a:schemeClr val="lt1"/>
            </a:solidFill>
          </a:ln>
          <a:effectLst/>
          <a:sp3d contourW="25400">
            <a:contourClr>
              <a:schemeClr val="lt1"/>
            </a:contourClr>
          </a:sp3d>
        </c:spPr>
      </c:pivotFmt>
      <c:pivotFmt>
        <c:idx val="211"/>
        <c:spPr>
          <a:solidFill>
            <a:schemeClr val="accent1"/>
          </a:solidFill>
          <a:ln w="25400">
            <a:solidFill>
              <a:schemeClr val="lt1"/>
            </a:solidFill>
          </a:ln>
          <a:effectLst/>
          <a:sp3d contourW="25400">
            <a:contourClr>
              <a:schemeClr val="lt1"/>
            </a:contourClr>
          </a:sp3d>
        </c:spPr>
      </c:pivotFmt>
      <c:pivotFmt>
        <c:idx val="212"/>
        <c:spPr>
          <a:solidFill>
            <a:schemeClr val="accent1"/>
          </a:solidFill>
          <a:ln w="25400">
            <a:solidFill>
              <a:schemeClr val="lt1"/>
            </a:solidFill>
          </a:ln>
          <a:effectLst/>
          <a:sp3d contourW="25400">
            <a:contourClr>
              <a:schemeClr val="lt1"/>
            </a:contourClr>
          </a:sp3d>
        </c:spPr>
      </c:pivotFmt>
      <c:pivotFmt>
        <c:idx val="213"/>
        <c:spPr>
          <a:solidFill>
            <a:schemeClr val="accent1"/>
          </a:solidFill>
          <a:ln w="25400">
            <a:solidFill>
              <a:schemeClr val="lt1"/>
            </a:solidFill>
          </a:ln>
          <a:effectLst/>
          <a:sp3d contourW="25400">
            <a:contourClr>
              <a:schemeClr val="lt1"/>
            </a:contourClr>
          </a:sp3d>
        </c:spPr>
      </c:pivotFmt>
      <c:pivotFmt>
        <c:idx val="214"/>
        <c:spPr>
          <a:solidFill>
            <a:schemeClr val="accent1"/>
          </a:solidFill>
          <a:ln w="25400">
            <a:solidFill>
              <a:schemeClr val="lt1"/>
            </a:solidFill>
          </a:ln>
          <a:effectLst/>
          <a:sp3d contourW="25400">
            <a:contourClr>
              <a:schemeClr val="lt1"/>
            </a:contourClr>
          </a:sp3d>
        </c:spPr>
      </c:pivotFmt>
      <c:pivotFmt>
        <c:idx val="215"/>
        <c:spPr>
          <a:solidFill>
            <a:schemeClr val="accent1"/>
          </a:solidFill>
          <a:ln w="25400">
            <a:solidFill>
              <a:schemeClr val="lt1"/>
            </a:solidFill>
          </a:ln>
          <a:effectLst/>
          <a:sp3d contourW="25400">
            <a:contourClr>
              <a:schemeClr val="lt1"/>
            </a:contourClr>
          </a:sp3d>
        </c:spPr>
      </c:pivotFmt>
      <c:pivotFmt>
        <c:idx val="216"/>
        <c:spPr>
          <a:solidFill>
            <a:schemeClr val="accent1"/>
          </a:solidFill>
          <a:ln w="25400">
            <a:solidFill>
              <a:schemeClr val="lt1"/>
            </a:solidFill>
          </a:ln>
          <a:effectLst/>
          <a:sp3d contourW="25400">
            <a:contourClr>
              <a:schemeClr val="lt1"/>
            </a:contourClr>
          </a:sp3d>
        </c:spPr>
      </c:pivotFmt>
      <c:pivotFmt>
        <c:idx val="217"/>
        <c:spPr>
          <a:solidFill>
            <a:schemeClr val="accent1"/>
          </a:solidFill>
          <a:ln w="25400">
            <a:solidFill>
              <a:schemeClr val="lt1"/>
            </a:solidFill>
          </a:ln>
          <a:effectLst/>
          <a:sp3d contourW="25400">
            <a:contourClr>
              <a:schemeClr val="lt1"/>
            </a:contourClr>
          </a:sp3d>
        </c:spPr>
      </c:pivotFmt>
      <c:pivotFmt>
        <c:idx val="218"/>
        <c:spPr>
          <a:solidFill>
            <a:schemeClr val="accent1"/>
          </a:solidFill>
          <a:ln w="25400">
            <a:solidFill>
              <a:schemeClr val="lt1"/>
            </a:solidFill>
          </a:ln>
          <a:effectLst/>
          <a:sp3d contourW="25400">
            <a:contourClr>
              <a:schemeClr val="lt1"/>
            </a:contourClr>
          </a:sp3d>
        </c:spPr>
      </c:pivotFmt>
      <c:pivotFmt>
        <c:idx val="219"/>
        <c:spPr>
          <a:solidFill>
            <a:schemeClr val="accent1"/>
          </a:solidFill>
          <a:ln w="25400">
            <a:solidFill>
              <a:schemeClr val="lt1"/>
            </a:solidFill>
          </a:ln>
          <a:effectLst/>
          <a:sp3d contourW="25400">
            <a:contourClr>
              <a:schemeClr val="lt1"/>
            </a:contourClr>
          </a:sp3d>
        </c:spPr>
      </c:pivotFmt>
      <c:pivotFmt>
        <c:idx val="220"/>
        <c:spPr>
          <a:solidFill>
            <a:schemeClr val="accent1"/>
          </a:solidFill>
          <a:ln w="25400">
            <a:solidFill>
              <a:schemeClr val="lt1"/>
            </a:solidFill>
          </a:ln>
          <a:effectLst/>
          <a:sp3d contourW="25400">
            <a:contourClr>
              <a:schemeClr val="lt1"/>
            </a:contourClr>
          </a:sp3d>
        </c:spPr>
      </c:pivotFmt>
      <c:pivotFmt>
        <c:idx val="221"/>
        <c:spPr>
          <a:solidFill>
            <a:schemeClr val="accent1"/>
          </a:solidFill>
          <a:ln w="25400">
            <a:solidFill>
              <a:schemeClr val="lt1"/>
            </a:solidFill>
          </a:ln>
          <a:effectLst/>
          <a:sp3d contourW="25400">
            <a:contourClr>
              <a:schemeClr val="lt1"/>
            </a:contourClr>
          </a:sp3d>
        </c:spPr>
      </c:pivotFmt>
      <c:pivotFmt>
        <c:idx val="222"/>
        <c:spPr>
          <a:solidFill>
            <a:schemeClr val="accent1"/>
          </a:solidFill>
          <a:ln w="25400">
            <a:solidFill>
              <a:schemeClr val="lt1"/>
            </a:solidFill>
          </a:ln>
          <a:effectLst/>
          <a:sp3d contourW="25400">
            <a:contourClr>
              <a:schemeClr val="lt1"/>
            </a:contourClr>
          </a:sp3d>
        </c:spPr>
      </c:pivotFmt>
      <c:pivotFmt>
        <c:idx val="223"/>
        <c:spPr>
          <a:solidFill>
            <a:schemeClr val="accent1"/>
          </a:solidFill>
          <a:ln w="25400">
            <a:solidFill>
              <a:schemeClr val="lt1"/>
            </a:solidFill>
          </a:ln>
          <a:effectLst/>
          <a:sp3d contourW="25400">
            <a:contourClr>
              <a:schemeClr val="lt1"/>
            </a:contourClr>
          </a:sp3d>
        </c:spPr>
      </c:pivotFmt>
      <c:pivotFmt>
        <c:idx val="224"/>
        <c:spPr>
          <a:solidFill>
            <a:schemeClr val="accent1"/>
          </a:solidFill>
          <a:ln w="25400">
            <a:solidFill>
              <a:schemeClr val="lt1"/>
            </a:solidFill>
          </a:ln>
          <a:effectLst/>
          <a:sp3d contourW="25400">
            <a:contourClr>
              <a:schemeClr val="lt1"/>
            </a:contourClr>
          </a:sp3d>
        </c:spPr>
      </c:pivotFmt>
      <c:pivotFmt>
        <c:idx val="225"/>
        <c:spPr>
          <a:solidFill>
            <a:schemeClr val="accent1"/>
          </a:solidFill>
          <a:ln w="25400">
            <a:solidFill>
              <a:schemeClr val="lt1"/>
            </a:solidFill>
          </a:ln>
          <a:effectLst/>
          <a:sp3d contourW="25400">
            <a:contourClr>
              <a:schemeClr val="lt1"/>
            </a:contourClr>
          </a:sp3d>
        </c:spPr>
      </c:pivotFmt>
      <c:pivotFmt>
        <c:idx val="226"/>
        <c:spPr>
          <a:solidFill>
            <a:schemeClr val="accent1"/>
          </a:solidFill>
          <a:ln w="25400">
            <a:solidFill>
              <a:schemeClr val="lt1"/>
            </a:solidFill>
          </a:ln>
          <a:effectLst/>
          <a:sp3d contourW="25400">
            <a:contourClr>
              <a:schemeClr val="lt1"/>
            </a:contourClr>
          </a:sp3d>
        </c:spPr>
      </c:pivotFmt>
      <c:pivotFmt>
        <c:idx val="227"/>
        <c:spPr>
          <a:solidFill>
            <a:schemeClr val="accent1"/>
          </a:solidFill>
          <a:ln w="25400">
            <a:solidFill>
              <a:schemeClr val="lt1"/>
            </a:solidFill>
          </a:ln>
          <a:effectLst/>
          <a:sp3d contourW="25400">
            <a:contourClr>
              <a:schemeClr val="lt1"/>
            </a:contourClr>
          </a:sp3d>
        </c:spPr>
      </c:pivotFmt>
      <c:pivotFmt>
        <c:idx val="228"/>
        <c:spPr>
          <a:solidFill>
            <a:schemeClr val="accent1"/>
          </a:solidFill>
          <a:ln w="25400">
            <a:solidFill>
              <a:schemeClr val="lt1"/>
            </a:solidFill>
          </a:ln>
          <a:effectLst/>
          <a:sp3d contourW="25400">
            <a:contourClr>
              <a:schemeClr val="lt1"/>
            </a:contourClr>
          </a:sp3d>
        </c:spPr>
      </c:pivotFmt>
      <c:pivotFmt>
        <c:idx val="229"/>
        <c:spPr>
          <a:solidFill>
            <a:schemeClr val="accent1"/>
          </a:solidFill>
          <a:ln w="25400">
            <a:solidFill>
              <a:schemeClr val="lt1"/>
            </a:solidFill>
          </a:ln>
          <a:effectLst/>
          <a:sp3d contourW="25400">
            <a:contourClr>
              <a:schemeClr val="lt1"/>
            </a:contourClr>
          </a:sp3d>
        </c:spPr>
      </c:pivotFmt>
      <c:pivotFmt>
        <c:idx val="230"/>
        <c:spPr>
          <a:solidFill>
            <a:schemeClr val="accent1"/>
          </a:solidFill>
          <a:ln w="25400">
            <a:solidFill>
              <a:schemeClr val="lt1"/>
            </a:solidFill>
          </a:ln>
          <a:effectLst/>
          <a:sp3d contourW="25400">
            <a:contourClr>
              <a:schemeClr val="lt1"/>
            </a:contourClr>
          </a:sp3d>
        </c:spPr>
      </c:pivotFmt>
      <c:pivotFmt>
        <c:idx val="231"/>
        <c:spPr>
          <a:solidFill>
            <a:schemeClr val="accent1"/>
          </a:solidFill>
          <a:ln w="25400">
            <a:solidFill>
              <a:schemeClr val="lt1"/>
            </a:solidFill>
          </a:ln>
          <a:effectLst/>
          <a:sp3d contourW="25400">
            <a:contourClr>
              <a:schemeClr val="lt1"/>
            </a:contourClr>
          </a:sp3d>
        </c:spPr>
      </c:pivotFmt>
      <c:pivotFmt>
        <c:idx val="232"/>
        <c:spPr>
          <a:solidFill>
            <a:schemeClr val="accent1"/>
          </a:solidFill>
          <a:ln w="25400">
            <a:solidFill>
              <a:schemeClr val="lt1"/>
            </a:solidFill>
          </a:ln>
          <a:effectLst/>
          <a:sp3d contourW="25400">
            <a:contourClr>
              <a:schemeClr val="lt1"/>
            </a:contourClr>
          </a:sp3d>
        </c:spPr>
      </c:pivotFmt>
      <c:pivotFmt>
        <c:idx val="233"/>
        <c:spPr>
          <a:solidFill>
            <a:schemeClr val="accent1"/>
          </a:solidFill>
          <a:ln w="25400">
            <a:solidFill>
              <a:schemeClr val="lt1"/>
            </a:solidFill>
          </a:ln>
          <a:effectLst/>
          <a:sp3d contourW="25400">
            <a:contourClr>
              <a:schemeClr val="lt1"/>
            </a:contourClr>
          </a:sp3d>
        </c:spPr>
      </c:pivotFmt>
      <c:pivotFmt>
        <c:idx val="234"/>
        <c:spPr>
          <a:solidFill>
            <a:schemeClr val="accent1"/>
          </a:solidFill>
          <a:ln w="25400">
            <a:solidFill>
              <a:schemeClr val="lt1"/>
            </a:solidFill>
          </a:ln>
          <a:effectLst/>
          <a:sp3d contourW="25400">
            <a:contourClr>
              <a:schemeClr val="lt1"/>
            </a:contourClr>
          </a:sp3d>
        </c:spPr>
      </c:pivotFmt>
      <c:pivotFmt>
        <c:idx val="235"/>
        <c:spPr>
          <a:solidFill>
            <a:schemeClr val="accent1"/>
          </a:solidFill>
          <a:ln w="25400">
            <a:solidFill>
              <a:schemeClr val="lt1"/>
            </a:solidFill>
          </a:ln>
          <a:effectLst/>
          <a:sp3d contourW="25400">
            <a:contourClr>
              <a:schemeClr val="lt1"/>
            </a:contourClr>
          </a:sp3d>
        </c:spPr>
      </c:pivotFmt>
      <c:pivotFmt>
        <c:idx val="236"/>
        <c:spPr>
          <a:solidFill>
            <a:schemeClr val="accent1"/>
          </a:solidFill>
          <a:ln w="25400">
            <a:solidFill>
              <a:schemeClr val="lt1"/>
            </a:solidFill>
          </a:ln>
          <a:effectLst/>
          <a:sp3d contourW="25400">
            <a:contourClr>
              <a:schemeClr val="lt1"/>
            </a:contourClr>
          </a:sp3d>
        </c:spPr>
      </c:pivotFmt>
      <c:pivotFmt>
        <c:idx val="237"/>
        <c:spPr>
          <a:solidFill>
            <a:schemeClr val="accent1"/>
          </a:solidFill>
          <a:ln w="25400">
            <a:solidFill>
              <a:schemeClr val="lt1"/>
            </a:solidFill>
          </a:ln>
          <a:effectLst/>
          <a:sp3d contourW="25400">
            <a:contourClr>
              <a:schemeClr val="lt1"/>
            </a:contourClr>
          </a:sp3d>
        </c:spPr>
      </c:pivotFmt>
      <c:pivotFmt>
        <c:idx val="238"/>
        <c:spPr>
          <a:solidFill>
            <a:schemeClr val="accent1"/>
          </a:solidFill>
          <a:ln w="25400">
            <a:solidFill>
              <a:schemeClr val="lt1"/>
            </a:solidFill>
          </a:ln>
          <a:effectLst/>
          <a:sp3d contourW="25400">
            <a:contourClr>
              <a:schemeClr val="lt1"/>
            </a:contourClr>
          </a:sp3d>
        </c:spPr>
      </c:pivotFmt>
      <c:pivotFmt>
        <c:idx val="239"/>
        <c:spPr>
          <a:solidFill>
            <a:schemeClr val="accent1"/>
          </a:solidFill>
          <a:ln w="25400">
            <a:solidFill>
              <a:schemeClr val="lt1"/>
            </a:solidFill>
          </a:ln>
          <a:effectLst/>
          <a:sp3d contourW="25400">
            <a:contourClr>
              <a:schemeClr val="lt1"/>
            </a:contourClr>
          </a:sp3d>
        </c:spPr>
      </c:pivotFmt>
      <c:pivotFmt>
        <c:idx val="240"/>
        <c:spPr>
          <a:solidFill>
            <a:schemeClr val="accent1"/>
          </a:solidFill>
          <a:ln w="25400">
            <a:solidFill>
              <a:schemeClr val="lt1"/>
            </a:solidFill>
          </a:ln>
          <a:effectLst/>
          <a:sp3d contourW="25400">
            <a:contourClr>
              <a:schemeClr val="lt1"/>
            </a:contourClr>
          </a:sp3d>
        </c:spPr>
      </c:pivotFmt>
      <c:pivotFmt>
        <c:idx val="241"/>
        <c:spPr>
          <a:solidFill>
            <a:schemeClr val="accent1"/>
          </a:solidFill>
          <a:ln w="25400">
            <a:solidFill>
              <a:schemeClr val="lt1"/>
            </a:solidFill>
          </a:ln>
          <a:effectLst/>
          <a:sp3d contourW="25400">
            <a:contourClr>
              <a:schemeClr val="lt1"/>
            </a:contourClr>
          </a:sp3d>
        </c:spPr>
      </c:pivotFmt>
      <c:pivotFmt>
        <c:idx val="242"/>
        <c:spPr>
          <a:solidFill>
            <a:schemeClr val="accent1"/>
          </a:solidFill>
          <a:ln w="25400">
            <a:solidFill>
              <a:schemeClr val="lt1"/>
            </a:solidFill>
          </a:ln>
          <a:effectLst/>
          <a:sp3d contourW="25400">
            <a:contourClr>
              <a:schemeClr val="lt1"/>
            </a:contourClr>
          </a:sp3d>
        </c:spPr>
      </c:pivotFmt>
      <c:pivotFmt>
        <c:idx val="243"/>
        <c:spPr>
          <a:solidFill>
            <a:schemeClr val="accent1"/>
          </a:solidFill>
          <a:ln w="25400">
            <a:solidFill>
              <a:schemeClr val="lt1"/>
            </a:solidFill>
          </a:ln>
          <a:effectLst/>
          <a:sp3d contourW="25400">
            <a:contourClr>
              <a:schemeClr val="lt1"/>
            </a:contourClr>
          </a:sp3d>
        </c:spPr>
      </c:pivotFmt>
      <c:pivotFmt>
        <c:idx val="2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12397929425488481"/>
          <c:w val="0.72588888888888892"/>
          <c:h val="0.80657626130067073"/>
        </c:manualLayout>
      </c:layout>
      <c:pie3DChart>
        <c:varyColors val="1"/>
        <c:ser>
          <c:idx val="0"/>
          <c:order val="0"/>
          <c:tx>
            <c:strRef>
              <c:f>Sheet1!$I$3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dPt>
            <c:idx val="53"/>
            <c:bubble3D val="0"/>
            <c:spPr>
              <a:solidFill>
                <a:schemeClr val="accent6">
                  <a:lumMod val="50000"/>
                  <a:lumOff val="50000"/>
                </a:schemeClr>
              </a:solidFill>
              <a:ln w="25400">
                <a:solidFill>
                  <a:schemeClr val="lt1"/>
                </a:solidFill>
              </a:ln>
              <a:effectLst/>
              <a:sp3d contourW="25400">
                <a:contourClr>
                  <a:schemeClr val="lt1"/>
                </a:contourClr>
              </a:sp3d>
            </c:spPr>
          </c:dPt>
          <c:dPt>
            <c:idx val="54"/>
            <c:bubble3D val="0"/>
            <c:spPr>
              <a:solidFill>
                <a:schemeClr val="accent1"/>
              </a:solidFill>
              <a:ln w="25400">
                <a:solidFill>
                  <a:schemeClr val="lt1"/>
                </a:solidFill>
              </a:ln>
              <a:effectLst/>
              <a:sp3d contourW="25400">
                <a:contourClr>
                  <a:schemeClr val="lt1"/>
                </a:contourClr>
              </a:sp3d>
            </c:spPr>
          </c:dPt>
          <c:dPt>
            <c:idx val="55"/>
            <c:bubble3D val="0"/>
            <c:spPr>
              <a:solidFill>
                <a:schemeClr val="accent2"/>
              </a:solidFill>
              <a:ln w="25400">
                <a:solidFill>
                  <a:schemeClr val="lt1"/>
                </a:solidFill>
              </a:ln>
              <a:effectLst/>
              <a:sp3d contourW="25400">
                <a:contourClr>
                  <a:schemeClr val="lt1"/>
                </a:contourClr>
              </a:sp3d>
            </c:spPr>
          </c:dPt>
          <c:dPt>
            <c:idx val="56"/>
            <c:bubble3D val="0"/>
            <c:spPr>
              <a:solidFill>
                <a:schemeClr val="accent3"/>
              </a:solidFill>
              <a:ln w="25400">
                <a:solidFill>
                  <a:schemeClr val="lt1"/>
                </a:solidFill>
              </a:ln>
              <a:effectLst/>
              <a:sp3d contourW="25400">
                <a:contourClr>
                  <a:schemeClr val="lt1"/>
                </a:contourClr>
              </a:sp3d>
            </c:spPr>
          </c:dPt>
          <c:dPt>
            <c:idx val="57"/>
            <c:bubble3D val="0"/>
            <c:spPr>
              <a:solidFill>
                <a:schemeClr val="accent4"/>
              </a:solidFill>
              <a:ln w="25400">
                <a:solidFill>
                  <a:schemeClr val="lt1"/>
                </a:solidFill>
              </a:ln>
              <a:effectLst/>
              <a:sp3d contourW="25400">
                <a:contourClr>
                  <a:schemeClr val="lt1"/>
                </a:contourClr>
              </a:sp3d>
            </c:spPr>
          </c:dPt>
          <c:dPt>
            <c:idx val="58"/>
            <c:bubble3D val="0"/>
            <c:spPr>
              <a:solidFill>
                <a:schemeClr val="accent5"/>
              </a:solidFill>
              <a:ln w="25400">
                <a:solidFill>
                  <a:schemeClr val="lt1"/>
                </a:solidFill>
              </a:ln>
              <a:effectLst/>
              <a:sp3d contourW="25400">
                <a:contourClr>
                  <a:schemeClr val="lt1"/>
                </a:contourClr>
              </a:sp3d>
            </c:spPr>
          </c:dPt>
          <c:dPt>
            <c:idx val="59"/>
            <c:bubble3D val="0"/>
            <c:spPr>
              <a:solidFill>
                <a:schemeClr val="accent6"/>
              </a:solidFill>
              <a:ln w="25400">
                <a:solidFill>
                  <a:schemeClr val="lt1"/>
                </a:solidFill>
              </a:ln>
              <a:effectLst/>
              <a:sp3d contourW="25400">
                <a:contourClr>
                  <a:schemeClr val="lt1"/>
                </a:contourClr>
              </a:sp3d>
            </c:spPr>
          </c:dPt>
          <c:cat>
            <c:strRef>
              <c:f>Sheet1!$H$4:$H$64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Sheet1!$I$4:$I$64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65</xdr:row>
      <xdr:rowOff>71437</xdr:rowOff>
    </xdr:from>
    <xdr:to>
      <xdr:col>4</xdr:col>
      <xdr:colOff>142875</xdr:colOff>
      <xdr:row>80</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461962</xdr:colOff>
      <xdr:row>65</xdr:row>
      <xdr:rowOff>138112</xdr:rowOff>
    </xdr:from>
    <xdr:to>
      <xdr:col>8</xdr:col>
      <xdr:colOff>1347787</xdr:colOff>
      <xdr:row>80</xdr:row>
      <xdr:rowOff>166687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347662</xdr:colOff>
      <xdr:row>66</xdr:row>
      <xdr:rowOff>14287</xdr:rowOff>
    </xdr:from>
    <xdr:to>
      <xdr:col>14</xdr:col>
      <xdr:colOff>328612</xdr:colOff>
      <xdr:row>81</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238125</xdr:colOff>
      <xdr:row>11</xdr:row>
      <xdr:rowOff>28575</xdr:rowOff>
    </xdr:from>
    <xdr:to>
      <xdr:col>8</xdr:col>
      <xdr:colOff>381000</xdr:colOff>
      <xdr:row>25</xdr:row>
      <xdr:rowOff>19050</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48375" y="201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13</xdr:row>
      <xdr:rowOff>142875</xdr:rowOff>
    </xdr:from>
    <xdr:to>
      <xdr:col>8</xdr:col>
      <xdr:colOff>857250</xdr:colOff>
      <xdr:row>27</xdr:row>
      <xdr:rowOff>133350</xdr:rowOff>
    </xdr:to>
    <mc:AlternateContent xmlns:mc="http://schemas.openxmlformats.org/markup-compatibility/2006" xmlns:a14="http://schemas.microsoft.com/office/drawing/2010/main">
      <mc:Choice Requires="a14">
        <xdr:graphicFrame macro="">
          <xdr:nvGraphicFramePr>
            <xdr:cNvPr id="6"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6524625" y="2495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16</xdr:row>
      <xdr:rowOff>76200</xdr:rowOff>
    </xdr:from>
    <xdr:to>
      <xdr:col>8</xdr:col>
      <xdr:colOff>1333500</xdr:colOff>
      <xdr:row>30</xdr:row>
      <xdr:rowOff>66675</xdr:rowOff>
    </xdr:to>
    <mc:AlternateContent xmlns:mc="http://schemas.openxmlformats.org/markup-compatibility/2006" xmlns:a14="http://schemas.microsoft.com/office/drawing/2010/main">
      <mc:Choice Requires="a14">
        <xdr:graphicFrame macro="">
          <xdr:nvGraphicFramePr>
            <xdr:cNvPr id="7" name="Actual amount"/>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mlns="">
        <xdr:sp macro="" textlink="">
          <xdr:nvSpPr>
            <xdr:cNvPr id="0" name=""/>
            <xdr:cNvSpPr>
              <a:spLocks noTextEdit="1"/>
            </xdr:cNvSpPr>
          </xdr:nvSpPr>
          <xdr:spPr>
            <a:xfrm>
              <a:off x="7000875" y="2971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xdr:colOff>
      <xdr:row>1</xdr:row>
      <xdr:rowOff>38100</xdr:rowOff>
    </xdr:from>
    <xdr:to>
      <xdr:col>20</xdr:col>
      <xdr:colOff>247650</xdr:colOff>
      <xdr:row>7</xdr:row>
      <xdr:rowOff>19050</xdr:rowOff>
    </xdr:to>
    <xdr:sp macro="" textlink="">
      <xdr:nvSpPr>
        <xdr:cNvPr id="2" name="Rounded Rectangle 1"/>
        <xdr:cNvSpPr/>
      </xdr:nvSpPr>
      <xdr:spPr>
        <a:xfrm>
          <a:off x="838200" y="219075"/>
          <a:ext cx="13125450" cy="1066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609599</xdr:colOff>
      <xdr:row>3</xdr:row>
      <xdr:rowOff>1</xdr:rowOff>
    </xdr:from>
    <xdr:to>
      <xdr:col>17</xdr:col>
      <xdr:colOff>171450</xdr:colOff>
      <xdr:row>6</xdr:row>
      <xdr:rowOff>161926</xdr:rowOff>
    </xdr:to>
    <xdr:sp macro="" textlink="">
      <xdr:nvSpPr>
        <xdr:cNvPr id="3" name="TextBox 2"/>
        <xdr:cNvSpPr txBox="1"/>
      </xdr:nvSpPr>
      <xdr:spPr>
        <a:xfrm>
          <a:off x="4038599" y="542926"/>
          <a:ext cx="7791451" cy="704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PERSONAL</a:t>
          </a:r>
          <a:r>
            <a:rPr lang="en-IN" sz="2400" b="1" baseline="0"/>
            <a:t> FINANCE BUDGET DASHBOARD</a:t>
          </a:r>
          <a:endParaRPr lang="en-IN" sz="2400" b="1"/>
        </a:p>
      </xdr:txBody>
    </xdr:sp>
    <xdr:clientData/>
  </xdr:twoCellAnchor>
  <xdr:twoCellAnchor>
    <xdr:from>
      <xdr:col>0</xdr:col>
      <xdr:colOff>476250</xdr:colOff>
      <xdr:row>9</xdr:row>
      <xdr:rowOff>19050</xdr:rowOff>
    </xdr:from>
    <xdr:to>
      <xdr:col>5</xdr:col>
      <xdr:colOff>219076</xdr:colOff>
      <xdr:row>15</xdr:row>
      <xdr:rowOff>66675</xdr:rowOff>
    </xdr:to>
    <xdr:sp macro="" textlink="">
      <xdr:nvSpPr>
        <xdr:cNvPr id="4" name="Rounded Rectangle 3"/>
        <xdr:cNvSpPr/>
      </xdr:nvSpPr>
      <xdr:spPr>
        <a:xfrm>
          <a:off x="476250" y="1647825"/>
          <a:ext cx="3171826" cy="11334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476250</xdr:colOff>
      <xdr:row>9</xdr:row>
      <xdr:rowOff>47625</xdr:rowOff>
    </xdr:from>
    <xdr:to>
      <xdr:col>2</xdr:col>
      <xdr:colOff>457200</xdr:colOff>
      <xdr:row>15</xdr:row>
      <xdr:rowOff>57150</xdr:rowOff>
    </xdr:to>
    <xdr:sp macro="" textlink="">
      <xdr:nvSpPr>
        <xdr:cNvPr id="5" name="Rounded Rectangle 4"/>
        <xdr:cNvSpPr/>
      </xdr:nvSpPr>
      <xdr:spPr>
        <a:xfrm>
          <a:off x="476250" y="1676400"/>
          <a:ext cx="1352550" cy="1095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600076</xdr:colOff>
      <xdr:row>10</xdr:row>
      <xdr:rowOff>19051</xdr:rowOff>
    </xdr:from>
    <xdr:to>
      <xdr:col>5</xdr:col>
      <xdr:colOff>66675</xdr:colOff>
      <xdr:row>11</xdr:row>
      <xdr:rowOff>114300</xdr:rowOff>
    </xdr:to>
    <xdr:sp macro="" textlink="">
      <xdr:nvSpPr>
        <xdr:cNvPr id="6" name="TextBox 5"/>
        <xdr:cNvSpPr txBox="1"/>
      </xdr:nvSpPr>
      <xdr:spPr>
        <a:xfrm>
          <a:off x="1971676" y="1828801"/>
          <a:ext cx="1523999" cy="276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Expences</a:t>
          </a:r>
          <a:endParaRPr lang="en-IN" sz="1200" b="1"/>
        </a:p>
      </xdr:txBody>
    </xdr:sp>
    <xdr:clientData/>
  </xdr:twoCellAnchor>
  <xdr:twoCellAnchor>
    <xdr:from>
      <xdr:col>3</xdr:col>
      <xdr:colOff>152400</xdr:colOff>
      <xdr:row>12</xdr:row>
      <xdr:rowOff>9525</xdr:rowOff>
    </xdr:from>
    <xdr:to>
      <xdr:col>4</xdr:col>
      <xdr:colOff>466725</xdr:colOff>
      <xdr:row>13</xdr:row>
      <xdr:rowOff>76200</xdr:rowOff>
    </xdr:to>
    <xdr:sp macro="" textlink="Sheet2!H6">
      <xdr:nvSpPr>
        <xdr:cNvPr id="7" name="TextBox 6"/>
        <xdr:cNvSpPr txBox="1"/>
      </xdr:nvSpPr>
      <xdr:spPr>
        <a:xfrm>
          <a:off x="2209800" y="2181225"/>
          <a:ext cx="10001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B7D1FC-46C7-4A96-971D-796B232C2779}" type="TxLink">
            <a:rPr lang="en-US" sz="1400" b="1" i="0" u="none" strike="noStrike">
              <a:solidFill>
                <a:srgbClr val="000000"/>
              </a:solidFill>
              <a:latin typeface="Aptos Narrow"/>
            </a:rPr>
            <a:pPr/>
            <a:t>283000</a:t>
          </a:fld>
          <a:endParaRPr lang="en-IN" sz="1400" b="1"/>
        </a:p>
      </xdr:txBody>
    </xdr:sp>
    <xdr:clientData/>
  </xdr:twoCellAnchor>
  <xdr:twoCellAnchor>
    <xdr:from>
      <xdr:col>6</xdr:col>
      <xdr:colOff>209549</xdr:colOff>
      <xdr:row>9</xdr:row>
      <xdr:rowOff>57150</xdr:rowOff>
    </xdr:from>
    <xdr:to>
      <xdr:col>11</xdr:col>
      <xdr:colOff>228600</xdr:colOff>
      <xdr:row>15</xdr:row>
      <xdr:rowOff>95250</xdr:rowOff>
    </xdr:to>
    <xdr:sp macro="" textlink="">
      <xdr:nvSpPr>
        <xdr:cNvPr id="9" name="Rounded Rectangle 8"/>
        <xdr:cNvSpPr/>
      </xdr:nvSpPr>
      <xdr:spPr>
        <a:xfrm>
          <a:off x="4324349" y="1685925"/>
          <a:ext cx="3448051" cy="11239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238126</xdr:colOff>
      <xdr:row>9</xdr:row>
      <xdr:rowOff>47625</xdr:rowOff>
    </xdr:from>
    <xdr:to>
      <xdr:col>8</xdr:col>
      <xdr:colOff>180976</xdr:colOff>
      <xdr:row>15</xdr:row>
      <xdr:rowOff>85725</xdr:rowOff>
    </xdr:to>
    <xdr:sp macro="" textlink="">
      <xdr:nvSpPr>
        <xdr:cNvPr id="11" name="Rounded Rectangle 10"/>
        <xdr:cNvSpPr/>
      </xdr:nvSpPr>
      <xdr:spPr>
        <a:xfrm>
          <a:off x="4352926" y="1676400"/>
          <a:ext cx="1314450" cy="1123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371475</xdr:colOff>
      <xdr:row>10</xdr:row>
      <xdr:rowOff>38100</xdr:rowOff>
    </xdr:from>
    <xdr:to>
      <xdr:col>10</xdr:col>
      <xdr:colOff>285750</xdr:colOff>
      <xdr:row>12</xdr:row>
      <xdr:rowOff>0</xdr:rowOff>
    </xdr:to>
    <xdr:sp macro="" textlink="">
      <xdr:nvSpPr>
        <xdr:cNvPr id="12" name="TextBox 11"/>
        <xdr:cNvSpPr txBox="1"/>
      </xdr:nvSpPr>
      <xdr:spPr>
        <a:xfrm>
          <a:off x="5857875" y="1847850"/>
          <a:ext cx="128587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a:t>
          </a:r>
        </a:p>
      </xdr:txBody>
    </xdr:sp>
    <xdr:clientData/>
  </xdr:twoCellAnchor>
  <xdr:twoCellAnchor>
    <xdr:from>
      <xdr:col>8</xdr:col>
      <xdr:colOff>409575</xdr:colOff>
      <xdr:row>12</xdr:row>
      <xdr:rowOff>28574</xdr:rowOff>
    </xdr:from>
    <xdr:to>
      <xdr:col>10</xdr:col>
      <xdr:colOff>19050</xdr:colOff>
      <xdr:row>13</xdr:row>
      <xdr:rowOff>142874</xdr:rowOff>
    </xdr:to>
    <xdr:sp macro="" textlink="Sheet2!H15">
      <xdr:nvSpPr>
        <xdr:cNvPr id="13" name="TextBox 12"/>
        <xdr:cNvSpPr txBox="1"/>
      </xdr:nvSpPr>
      <xdr:spPr>
        <a:xfrm>
          <a:off x="5895975" y="2200274"/>
          <a:ext cx="9810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EAEF93-B463-4776-BB97-81918436209D}" type="TxLink">
            <a:rPr lang="en-US" sz="1100" b="1" i="0" u="none" strike="noStrike">
              <a:solidFill>
                <a:srgbClr val="000000"/>
              </a:solidFill>
              <a:latin typeface="Aptos Narrow"/>
            </a:rPr>
            <a:pPr/>
            <a:t>4796.610169</a:t>
          </a:fld>
          <a:endParaRPr lang="en-IN" sz="1100" b="1"/>
        </a:p>
      </xdr:txBody>
    </xdr:sp>
    <xdr:clientData/>
  </xdr:twoCellAnchor>
  <xdr:twoCellAnchor>
    <xdr:from>
      <xdr:col>13</xdr:col>
      <xdr:colOff>209550</xdr:colOff>
      <xdr:row>8</xdr:row>
      <xdr:rowOff>180974</xdr:rowOff>
    </xdr:from>
    <xdr:to>
      <xdr:col>18</xdr:col>
      <xdr:colOff>590550</xdr:colOff>
      <xdr:row>15</xdr:row>
      <xdr:rowOff>85724</xdr:rowOff>
    </xdr:to>
    <xdr:sp macro="" textlink="">
      <xdr:nvSpPr>
        <xdr:cNvPr id="14" name="Rounded Rectangle 13"/>
        <xdr:cNvSpPr/>
      </xdr:nvSpPr>
      <xdr:spPr>
        <a:xfrm>
          <a:off x="9124950" y="1628774"/>
          <a:ext cx="3810000" cy="11715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219075</xdr:colOff>
      <xdr:row>9</xdr:row>
      <xdr:rowOff>9524</xdr:rowOff>
    </xdr:from>
    <xdr:to>
      <xdr:col>15</xdr:col>
      <xdr:colOff>219075</xdr:colOff>
      <xdr:row>15</xdr:row>
      <xdr:rowOff>57149</xdr:rowOff>
    </xdr:to>
    <xdr:sp macro="" textlink="">
      <xdr:nvSpPr>
        <xdr:cNvPr id="15" name="Rounded Rectangle 14"/>
        <xdr:cNvSpPr/>
      </xdr:nvSpPr>
      <xdr:spPr>
        <a:xfrm>
          <a:off x="9134475" y="1638299"/>
          <a:ext cx="1371600" cy="1133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295274</xdr:colOff>
      <xdr:row>9</xdr:row>
      <xdr:rowOff>180974</xdr:rowOff>
    </xdr:from>
    <xdr:to>
      <xdr:col>18</xdr:col>
      <xdr:colOff>361950</xdr:colOff>
      <xdr:row>11</xdr:row>
      <xdr:rowOff>76199</xdr:rowOff>
    </xdr:to>
    <xdr:sp macro="" textlink="">
      <xdr:nvSpPr>
        <xdr:cNvPr id="16" name="TextBox 15"/>
        <xdr:cNvSpPr txBox="1"/>
      </xdr:nvSpPr>
      <xdr:spPr>
        <a:xfrm>
          <a:off x="10582274" y="1809749"/>
          <a:ext cx="2124076"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Avg expensive by month</a:t>
          </a:r>
        </a:p>
      </xdr:txBody>
    </xdr:sp>
    <xdr:clientData/>
  </xdr:twoCellAnchor>
  <xdr:twoCellAnchor>
    <xdr:from>
      <xdr:col>15</xdr:col>
      <xdr:colOff>619125</xdr:colOff>
      <xdr:row>11</xdr:row>
      <xdr:rowOff>161925</xdr:rowOff>
    </xdr:from>
    <xdr:to>
      <xdr:col>18</xdr:col>
      <xdr:colOff>0</xdr:colOff>
      <xdr:row>13</xdr:row>
      <xdr:rowOff>95250</xdr:rowOff>
    </xdr:to>
    <xdr:sp macro="" textlink="Sheet2!H29">
      <xdr:nvSpPr>
        <xdr:cNvPr id="17" name="TextBox 16"/>
        <xdr:cNvSpPr txBox="1"/>
      </xdr:nvSpPr>
      <xdr:spPr>
        <a:xfrm>
          <a:off x="10906125" y="2152650"/>
          <a:ext cx="14382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FB1CA5-75C2-458B-A62F-89FD37EC4618}" type="TxLink">
            <a:rPr lang="en-US" sz="2000" b="1" i="0" u="none" strike="noStrike">
              <a:ln>
                <a:noFill/>
              </a:ln>
              <a:solidFill>
                <a:srgbClr val="000000"/>
              </a:solidFill>
              <a:latin typeface="Aptos Narrow"/>
            </a:rPr>
            <a:pPr/>
            <a:t>4780</a:t>
          </a:fld>
          <a:endParaRPr lang="en-IN" sz="2000" b="1">
            <a:ln>
              <a:noFill/>
            </a:ln>
          </a:endParaRPr>
        </a:p>
      </xdr:txBody>
    </xdr:sp>
    <xdr:clientData/>
  </xdr:twoCellAnchor>
  <xdr:twoCellAnchor editAs="oneCell">
    <xdr:from>
      <xdr:col>1</xdr:col>
      <xdr:colOff>0</xdr:colOff>
      <xdr:row>17</xdr:row>
      <xdr:rowOff>0</xdr:rowOff>
    </xdr:from>
    <xdr:to>
      <xdr:col>3</xdr:col>
      <xdr:colOff>457200</xdr:colOff>
      <xdr:row>30</xdr:row>
      <xdr:rowOff>171450</xdr:rowOff>
    </xdr:to>
    <mc:AlternateContent xmlns:mc="http://schemas.openxmlformats.org/markup-compatibility/2006" xmlns:a14="http://schemas.microsoft.com/office/drawing/2010/main">
      <mc:Choice Requires="a14">
        <xdr:graphicFrame macro="">
          <xdr:nvGraphicFramePr>
            <xdr:cNvPr id="18" name="Actual amount 1"/>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mlns="">
        <xdr:sp macro="" textlink="">
          <xdr:nvSpPr>
            <xdr:cNvPr id="0" name=""/>
            <xdr:cNvSpPr>
              <a:spLocks noTextEdit="1"/>
            </xdr:cNvSpPr>
          </xdr:nvSpPr>
          <xdr:spPr>
            <a:xfrm>
              <a:off x="685800" y="3076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33</xdr:row>
      <xdr:rowOff>0</xdr:rowOff>
    </xdr:from>
    <xdr:to>
      <xdr:col>3</xdr:col>
      <xdr:colOff>457200</xdr:colOff>
      <xdr:row>46</xdr:row>
      <xdr:rowOff>171450</xdr:rowOff>
    </xdr:to>
    <mc:AlternateContent xmlns:mc="http://schemas.openxmlformats.org/markup-compatibility/2006" xmlns:a14="http://schemas.microsoft.com/office/drawing/2010/main">
      <mc:Choice Requires="a14">
        <xdr:graphicFrame macro="">
          <xdr:nvGraphicFramePr>
            <xdr:cNvPr id="19" name="Discription 1"/>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685800" y="5972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48</xdr:row>
      <xdr:rowOff>0</xdr:rowOff>
    </xdr:from>
    <xdr:to>
      <xdr:col>3</xdr:col>
      <xdr:colOff>457200</xdr:colOff>
      <xdr:row>61</xdr:row>
      <xdr:rowOff>171450</xdr:rowOff>
    </xdr:to>
    <mc:AlternateContent xmlns:mc="http://schemas.openxmlformats.org/markup-compatibility/2006" xmlns:a14="http://schemas.microsoft.com/office/drawing/2010/main">
      <mc:Choice Requires="a14">
        <xdr:graphicFrame macro="">
          <xdr:nvGraphicFramePr>
            <xdr:cNvPr id="2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85800" y="868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17</xdr:row>
      <xdr:rowOff>0</xdr:rowOff>
    </xdr:from>
    <xdr:to>
      <xdr:col>11</xdr:col>
      <xdr:colOff>523875</xdr:colOff>
      <xdr:row>32</xdr:row>
      <xdr:rowOff>28575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35</xdr:row>
      <xdr:rowOff>0</xdr:rowOff>
    </xdr:from>
    <xdr:to>
      <xdr:col>11</xdr:col>
      <xdr:colOff>457200</xdr:colOff>
      <xdr:row>50</xdr:row>
      <xdr:rowOff>28575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590550</xdr:colOff>
      <xdr:row>17</xdr:row>
      <xdr:rowOff>47625</xdr:rowOff>
    </xdr:from>
    <xdr:to>
      <xdr:col>19</xdr:col>
      <xdr:colOff>361950</xdr:colOff>
      <xdr:row>32</xdr:row>
      <xdr:rowOff>76200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469258680554" createdVersion="5" refreshedVersion="5" minRefreshableVersion="3" recordCount="60">
  <cacheSource type="worksheet">
    <worksheetSource ref="A1:E61" sheet="Sheet2"/>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ount="33">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s v="January"/>
    <x v="0"/>
    <x v="0"/>
    <x v="0"/>
  </r>
  <r>
    <x v="1"/>
    <s v="January"/>
    <x v="1"/>
    <x v="1"/>
    <x v="1"/>
  </r>
  <r>
    <x v="2"/>
    <s v="January"/>
    <x v="2"/>
    <x v="2"/>
    <x v="2"/>
  </r>
  <r>
    <x v="3"/>
    <s v="January"/>
    <x v="3"/>
    <x v="3"/>
    <x v="3"/>
  </r>
  <r>
    <x v="4"/>
    <s v="January"/>
    <x v="4"/>
    <x v="4"/>
    <x v="4"/>
  </r>
  <r>
    <x v="5"/>
    <s v="February"/>
    <x v="0"/>
    <x v="0"/>
    <x v="0"/>
  </r>
  <r>
    <x v="6"/>
    <s v="February"/>
    <x v="1"/>
    <x v="1"/>
    <x v="5"/>
  </r>
  <r>
    <x v="7"/>
    <s v="February"/>
    <x v="2"/>
    <x v="2"/>
    <x v="6"/>
  </r>
  <r>
    <x v="8"/>
    <s v="February"/>
    <x v="3"/>
    <x v="3"/>
    <x v="7"/>
  </r>
  <r>
    <x v="9"/>
    <s v="February"/>
    <x v="4"/>
    <x v="5"/>
    <x v="8"/>
  </r>
  <r>
    <x v="10"/>
    <s v="March"/>
    <x v="0"/>
    <x v="0"/>
    <x v="0"/>
  </r>
  <r>
    <x v="11"/>
    <s v="March"/>
    <x v="1"/>
    <x v="1"/>
    <x v="9"/>
  </r>
  <r>
    <x v="12"/>
    <s v="March"/>
    <x v="2"/>
    <x v="6"/>
    <x v="4"/>
  </r>
  <r>
    <x v="13"/>
    <s v="March"/>
    <x v="3"/>
    <x v="7"/>
    <x v="10"/>
  </r>
  <r>
    <x v="14"/>
    <s v="March"/>
    <x v="4"/>
    <x v="4"/>
    <x v="3"/>
  </r>
  <r>
    <x v="15"/>
    <s v="April"/>
    <x v="0"/>
    <x v="0"/>
    <x v="0"/>
  </r>
  <r>
    <x v="16"/>
    <s v="April"/>
    <x v="1"/>
    <x v="1"/>
    <x v="11"/>
  </r>
  <r>
    <x v="17"/>
    <s v="April"/>
    <x v="2"/>
    <x v="8"/>
    <x v="12"/>
  </r>
  <r>
    <x v="18"/>
    <s v="April"/>
    <x v="3"/>
    <x v="3"/>
    <x v="13"/>
  </r>
  <r>
    <x v="19"/>
    <s v="April"/>
    <x v="4"/>
    <x v="4"/>
    <x v="14"/>
  </r>
  <r>
    <x v="20"/>
    <s v="May"/>
    <x v="0"/>
    <x v="0"/>
    <x v="0"/>
  </r>
  <r>
    <x v="21"/>
    <s v="May"/>
    <x v="1"/>
    <x v="1"/>
    <x v="15"/>
  </r>
  <r>
    <x v="22"/>
    <s v="May"/>
    <x v="2"/>
    <x v="8"/>
    <x v="16"/>
  </r>
  <r>
    <x v="23"/>
    <s v="May"/>
    <x v="3"/>
    <x v="9"/>
    <x v="17"/>
  </r>
  <r>
    <x v="24"/>
    <s v="May"/>
    <x v="4"/>
    <x v="4"/>
    <x v="4"/>
  </r>
  <r>
    <x v="25"/>
    <s v="June"/>
    <x v="0"/>
    <x v="0"/>
    <x v="0"/>
  </r>
  <r>
    <x v="26"/>
    <s v="June"/>
    <x v="1"/>
    <x v="1"/>
    <x v="18"/>
  </r>
  <r>
    <x v="27"/>
    <s v="June"/>
    <x v="2"/>
    <x v="8"/>
    <x v="19"/>
  </r>
  <r>
    <x v="28"/>
    <s v="June"/>
    <x v="3"/>
    <x v="10"/>
    <x v="2"/>
  </r>
  <r>
    <x v="29"/>
    <s v="June"/>
    <x v="4"/>
    <x v="4"/>
    <x v="20"/>
  </r>
  <r>
    <x v="30"/>
    <s v="July"/>
    <x v="0"/>
    <x v="0"/>
    <x v="0"/>
  </r>
  <r>
    <x v="31"/>
    <s v="July"/>
    <x v="1"/>
    <x v="1"/>
    <x v="21"/>
  </r>
  <r>
    <x v="32"/>
    <s v="July"/>
    <x v="2"/>
    <x v="6"/>
    <x v="4"/>
  </r>
  <r>
    <x v="33"/>
    <s v="July"/>
    <x v="3"/>
    <x v="3"/>
    <x v="22"/>
  </r>
  <r>
    <x v="34"/>
    <s v="July"/>
    <x v="4"/>
    <x v="4"/>
    <x v="8"/>
  </r>
  <r>
    <x v="35"/>
    <s v="August"/>
    <x v="0"/>
    <x v="0"/>
    <x v="0"/>
  </r>
  <r>
    <x v="36"/>
    <s v="August"/>
    <x v="1"/>
    <x v="1"/>
    <x v="23"/>
  </r>
  <r>
    <x v="37"/>
    <s v="August"/>
    <x v="2"/>
    <x v="8"/>
    <x v="24"/>
  </r>
  <r>
    <x v="38"/>
    <s v="August"/>
    <x v="3"/>
    <x v="9"/>
    <x v="13"/>
  </r>
  <r>
    <x v="39"/>
    <s v="August"/>
    <x v="4"/>
    <x v="4"/>
    <x v="14"/>
  </r>
  <r>
    <x v="40"/>
    <s v="September"/>
    <x v="0"/>
    <x v="0"/>
    <x v="0"/>
  </r>
  <r>
    <x v="41"/>
    <s v="September"/>
    <x v="1"/>
    <x v="1"/>
    <x v="25"/>
  </r>
  <r>
    <x v="42"/>
    <s v="September"/>
    <x v="2"/>
    <x v="6"/>
    <x v="20"/>
  </r>
  <r>
    <x v="43"/>
    <s v="September"/>
    <x v="3"/>
    <x v="7"/>
    <x v="26"/>
  </r>
  <r>
    <x v="44"/>
    <s v="September"/>
    <x v="4"/>
    <x v="4"/>
    <x v="8"/>
  </r>
  <r>
    <x v="45"/>
    <s v="October"/>
    <x v="0"/>
    <x v="0"/>
    <x v="0"/>
  </r>
  <r>
    <x v="46"/>
    <s v="October"/>
    <x v="1"/>
    <x v="1"/>
    <x v="27"/>
  </r>
  <r>
    <x v="47"/>
    <s v="October"/>
    <x v="2"/>
    <x v="8"/>
    <x v="6"/>
  </r>
  <r>
    <x v="48"/>
    <s v="October"/>
    <x v="3"/>
    <x v="11"/>
    <x v="28"/>
  </r>
  <r>
    <x v="49"/>
    <s v="October"/>
    <x v="4"/>
    <x v="4"/>
    <x v="2"/>
  </r>
  <r>
    <x v="50"/>
    <s v="November"/>
    <x v="0"/>
    <x v="0"/>
    <x v="0"/>
  </r>
  <r>
    <x v="51"/>
    <s v="November"/>
    <x v="1"/>
    <x v="1"/>
    <x v="29"/>
  </r>
  <r>
    <x v="52"/>
    <s v="November"/>
    <x v="2"/>
    <x v="8"/>
    <x v="12"/>
  </r>
  <r>
    <x v="53"/>
    <s v="November"/>
    <x v="3"/>
    <x v="3"/>
    <x v="17"/>
  </r>
  <r>
    <x v="54"/>
    <s v="November"/>
    <x v="4"/>
    <x v="4"/>
    <x v="4"/>
  </r>
  <r>
    <x v="55"/>
    <s v="December"/>
    <x v="0"/>
    <x v="0"/>
    <x v="0"/>
  </r>
  <r>
    <x v="56"/>
    <s v="December"/>
    <x v="1"/>
    <x v="1"/>
    <x v="30"/>
  </r>
  <r>
    <x v="57"/>
    <s v="December"/>
    <x v="2"/>
    <x v="12"/>
    <x v="31"/>
  </r>
  <r>
    <x v="58"/>
    <s v="December"/>
    <x v="3"/>
    <x v="13"/>
    <x v="32"/>
  </r>
  <r>
    <x v="59"/>
    <s v="December"/>
    <x v="4"/>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D3:E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dataField="1" showAll="0">
      <items count="6">
        <item x="3"/>
        <item x="1"/>
        <item x="0"/>
        <item x="2"/>
        <item x="4"/>
        <item t="default"/>
      </items>
    </pivotField>
    <pivotField showAll="0">
      <items count="15">
        <item x="6"/>
        <item x="2"/>
        <item x="4"/>
        <item x="11"/>
        <item x="8"/>
        <item x="1"/>
        <item x="0"/>
        <item x="3"/>
        <item x="7"/>
        <item x="9"/>
        <item x="12"/>
        <item x="10"/>
        <item x="5"/>
        <item x="13"/>
        <item t="default"/>
      </items>
    </pivotField>
    <pivotField showAll="0">
      <items count="34">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t="default"/>
      </items>
    </pivotField>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Category" fld="2" subtotal="count"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pivotField showAll="0"/>
    <pivotField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Month"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M3:N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dataField="1"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Actual amount"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H3:I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dataField="1"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Discription" fld="3" subtotal="count" baseField="0" baseItem="0"/>
  </dataFields>
  <chartFormats count="244">
    <chartFormat chart="4" format="0" series="1">
      <pivotArea type="data" outline="0" fieldPosition="0">
        <references count="1">
          <reference field="4294967294" count="1" selected="0">
            <x v="0"/>
          </reference>
        </references>
      </pivotArea>
    </chartFormat>
    <chartFormat chart="7" format="62" series="1">
      <pivotArea type="data" outline="0" fieldPosition="0">
        <references count="1">
          <reference field="4294967294" count="1" selected="0">
            <x v="0"/>
          </reference>
        </references>
      </pivotArea>
    </chartFormat>
    <chartFormat chart="7" format="63">
      <pivotArea type="data" outline="0" fieldPosition="0">
        <references count="2">
          <reference field="4294967294" count="1" selected="0">
            <x v="0"/>
          </reference>
          <reference field="0" count="1" selected="0">
            <x v="0"/>
          </reference>
        </references>
      </pivotArea>
    </chartFormat>
    <chartFormat chart="7" format="64">
      <pivotArea type="data" outline="0" fieldPosition="0">
        <references count="2">
          <reference field="4294967294" count="1" selected="0">
            <x v="0"/>
          </reference>
          <reference field="0" count="1" selected="0">
            <x v="1"/>
          </reference>
        </references>
      </pivotArea>
    </chartFormat>
    <chartFormat chart="7" format="65">
      <pivotArea type="data" outline="0" fieldPosition="0">
        <references count="2">
          <reference field="4294967294" count="1" selected="0">
            <x v="0"/>
          </reference>
          <reference field="0" count="1" selected="0">
            <x v="2"/>
          </reference>
        </references>
      </pivotArea>
    </chartFormat>
    <chartFormat chart="7" format="66">
      <pivotArea type="data" outline="0" fieldPosition="0">
        <references count="2">
          <reference field="4294967294" count="1" selected="0">
            <x v="0"/>
          </reference>
          <reference field="0" count="1" selected="0">
            <x v="3"/>
          </reference>
        </references>
      </pivotArea>
    </chartFormat>
    <chartFormat chart="7" format="67">
      <pivotArea type="data" outline="0" fieldPosition="0">
        <references count="2">
          <reference field="4294967294" count="1" selected="0">
            <x v="0"/>
          </reference>
          <reference field="0" count="1" selected="0">
            <x v="4"/>
          </reference>
        </references>
      </pivotArea>
    </chartFormat>
    <chartFormat chart="7" format="68">
      <pivotArea type="data" outline="0" fieldPosition="0">
        <references count="2">
          <reference field="4294967294" count="1" selected="0">
            <x v="0"/>
          </reference>
          <reference field="0" count="1" selected="0">
            <x v="5"/>
          </reference>
        </references>
      </pivotArea>
    </chartFormat>
    <chartFormat chart="7" format="69">
      <pivotArea type="data" outline="0" fieldPosition="0">
        <references count="2">
          <reference field="4294967294" count="1" selected="0">
            <x v="0"/>
          </reference>
          <reference field="0" count="1" selected="0">
            <x v="6"/>
          </reference>
        </references>
      </pivotArea>
    </chartFormat>
    <chartFormat chart="7" format="70">
      <pivotArea type="data" outline="0" fieldPosition="0">
        <references count="2">
          <reference field="4294967294" count="1" selected="0">
            <x v="0"/>
          </reference>
          <reference field="0" count="1" selected="0">
            <x v="7"/>
          </reference>
        </references>
      </pivotArea>
    </chartFormat>
    <chartFormat chart="7" format="71">
      <pivotArea type="data" outline="0" fieldPosition="0">
        <references count="2">
          <reference field="4294967294" count="1" selected="0">
            <x v="0"/>
          </reference>
          <reference field="0" count="1" selected="0">
            <x v="8"/>
          </reference>
        </references>
      </pivotArea>
    </chartFormat>
    <chartFormat chart="7" format="72">
      <pivotArea type="data" outline="0" fieldPosition="0">
        <references count="2">
          <reference field="4294967294" count="1" selected="0">
            <x v="0"/>
          </reference>
          <reference field="0" count="1" selected="0">
            <x v="9"/>
          </reference>
        </references>
      </pivotArea>
    </chartFormat>
    <chartFormat chart="7" format="73">
      <pivotArea type="data" outline="0" fieldPosition="0">
        <references count="2">
          <reference field="4294967294" count="1" selected="0">
            <x v="0"/>
          </reference>
          <reference field="0" count="1" selected="0">
            <x v="10"/>
          </reference>
        </references>
      </pivotArea>
    </chartFormat>
    <chartFormat chart="7" format="74">
      <pivotArea type="data" outline="0" fieldPosition="0">
        <references count="2">
          <reference field="4294967294" count="1" selected="0">
            <x v="0"/>
          </reference>
          <reference field="0" count="1" selected="0">
            <x v="11"/>
          </reference>
        </references>
      </pivotArea>
    </chartFormat>
    <chartFormat chart="7" format="75">
      <pivotArea type="data" outline="0" fieldPosition="0">
        <references count="2">
          <reference field="4294967294" count="1" selected="0">
            <x v="0"/>
          </reference>
          <reference field="0" count="1" selected="0">
            <x v="12"/>
          </reference>
        </references>
      </pivotArea>
    </chartFormat>
    <chartFormat chart="7" format="76">
      <pivotArea type="data" outline="0" fieldPosition="0">
        <references count="2">
          <reference field="4294967294" count="1" selected="0">
            <x v="0"/>
          </reference>
          <reference field="0" count="1" selected="0">
            <x v="13"/>
          </reference>
        </references>
      </pivotArea>
    </chartFormat>
    <chartFormat chart="7" format="77">
      <pivotArea type="data" outline="0" fieldPosition="0">
        <references count="2">
          <reference field="4294967294" count="1" selected="0">
            <x v="0"/>
          </reference>
          <reference field="0" count="1" selected="0">
            <x v="14"/>
          </reference>
        </references>
      </pivotArea>
    </chartFormat>
    <chartFormat chart="7" format="78">
      <pivotArea type="data" outline="0" fieldPosition="0">
        <references count="2">
          <reference field="4294967294" count="1" selected="0">
            <x v="0"/>
          </reference>
          <reference field="0" count="1" selected="0">
            <x v="15"/>
          </reference>
        </references>
      </pivotArea>
    </chartFormat>
    <chartFormat chart="7" format="79">
      <pivotArea type="data" outline="0" fieldPosition="0">
        <references count="2">
          <reference field="4294967294" count="1" selected="0">
            <x v="0"/>
          </reference>
          <reference field="0" count="1" selected="0">
            <x v="16"/>
          </reference>
        </references>
      </pivotArea>
    </chartFormat>
    <chartFormat chart="7" format="80">
      <pivotArea type="data" outline="0" fieldPosition="0">
        <references count="2">
          <reference field="4294967294" count="1" selected="0">
            <x v="0"/>
          </reference>
          <reference field="0" count="1" selected="0">
            <x v="17"/>
          </reference>
        </references>
      </pivotArea>
    </chartFormat>
    <chartFormat chart="7" format="81">
      <pivotArea type="data" outline="0" fieldPosition="0">
        <references count="2">
          <reference field="4294967294" count="1" selected="0">
            <x v="0"/>
          </reference>
          <reference field="0" count="1" selected="0">
            <x v="18"/>
          </reference>
        </references>
      </pivotArea>
    </chartFormat>
    <chartFormat chart="7" format="82">
      <pivotArea type="data" outline="0" fieldPosition="0">
        <references count="2">
          <reference field="4294967294" count="1" selected="0">
            <x v="0"/>
          </reference>
          <reference field="0" count="1" selected="0">
            <x v="19"/>
          </reference>
        </references>
      </pivotArea>
    </chartFormat>
    <chartFormat chart="7" format="83">
      <pivotArea type="data" outline="0" fieldPosition="0">
        <references count="2">
          <reference field="4294967294" count="1" selected="0">
            <x v="0"/>
          </reference>
          <reference field="0" count="1" selected="0">
            <x v="20"/>
          </reference>
        </references>
      </pivotArea>
    </chartFormat>
    <chartFormat chart="7" format="84">
      <pivotArea type="data" outline="0" fieldPosition="0">
        <references count="2">
          <reference field="4294967294" count="1" selected="0">
            <x v="0"/>
          </reference>
          <reference field="0" count="1" selected="0">
            <x v="21"/>
          </reference>
        </references>
      </pivotArea>
    </chartFormat>
    <chartFormat chart="7" format="85">
      <pivotArea type="data" outline="0" fieldPosition="0">
        <references count="2">
          <reference field="4294967294" count="1" selected="0">
            <x v="0"/>
          </reference>
          <reference field="0" count="1" selected="0">
            <x v="22"/>
          </reference>
        </references>
      </pivotArea>
    </chartFormat>
    <chartFormat chart="7" format="86">
      <pivotArea type="data" outline="0" fieldPosition="0">
        <references count="2">
          <reference field="4294967294" count="1" selected="0">
            <x v="0"/>
          </reference>
          <reference field="0" count="1" selected="0">
            <x v="23"/>
          </reference>
        </references>
      </pivotArea>
    </chartFormat>
    <chartFormat chart="7" format="87">
      <pivotArea type="data" outline="0" fieldPosition="0">
        <references count="2">
          <reference field="4294967294" count="1" selected="0">
            <x v="0"/>
          </reference>
          <reference field="0" count="1" selected="0">
            <x v="24"/>
          </reference>
        </references>
      </pivotArea>
    </chartFormat>
    <chartFormat chart="7" format="88">
      <pivotArea type="data" outline="0" fieldPosition="0">
        <references count="2">
          <reference field="4294967294" count="1" selected="0">
            <x v="0"/>
          </reference>
          <reference field="0" count="1" selected="0">
            <x v="25"/>
          </reference>
        </references>
      </pivotArea>
    </chartFormat>
    <chartFormat chart="7" format="89">
      <pivotArea type="data" outline="0" fieldPosition="0">
        <references count="2">
          <reference field="4294967294" count="1" selected="0">
            <x v="0"/>
          </reference>
          <reference field="0" count="1" selected="0">
            <x v="26"/>
          </reference>
        </references>
      </pivotArea>
    </chartFormat>
    <chartFormat chart="7" format="90">
      <pivotArea type="data" outline="0" fieldPosition="0">
        <references count="2">
          <reference field="4294967294" count="1" selected="0">
            <x v="0"/>
          </reference>
          <reference field="0" count="1" selected="0">
            <x v="27"/>
          </reference>
        </references>
      </pivotArea>
    </chartFormat>
    <chartFormat chart="7" format="91">
      <pivotArea type="data" outline="0" fieldPosition="0">
        <references count="2">
          <reference field="4294967294" count="1" selected="0">
            <x v="0"/>
          </reference>
          <reference field="0" count="1" selected="0">
            <x v="28"/>
          </reference>
        </references>
      </pivotArea>
    </chartFormat>
    <chartFormat chart="7" format="92">
      <pivotArea type="data" outline="0" fieldPosition="0">
        <references count="2">
          <reference field="4294967294" count="1" selected="0">
            <x v="0"/>
          </reference>
          <reference field="0" count="1" selected="0">
            <x v="29"/>
          </reference>
        </references>
      </pivotArea>
    </chartFormat>
    <chartFormat chart="7" format="93">
      <pivotArea type="data" outline="0" fieldPosition="0">
        <references count="2">
          <reference field="4294967294" count="1" selected="0">
            <x v="0"/>
          </reference>
          <reference field="0" count="1" selected="0">
            <x v="30"/>
          </reference>
        </references>
      </pivotArea>
    </chartFormat>
    <chartFormat chart="7" format="94">
      <pivotArea type="data" outline="0" fieldPosition="0">
        <references count="2">
          <reference field="4294967294" count="1" selected="0">
            <x v="0"/>
          </reference>
          <reference field="0" count="1" selected="0">
            <x v="31"/>
          </reference>
        </references>
      </pivotArea>
    </chartFormat>
    <chartFormat chart="7" format="95">
      <pivotArea type="data" outline="0" fieldPosition="0">
        <references count="2">
          <reference field="4294967294" count="1" selected="0">
            <x v="0"/>
          </reference>
          <reference field="0" count="1" selected="0">
            <x v="32"/>
          </reference>
        </references>
      </pivotArea>
    </chartFormat>
    <chartFormat chart="7" format="96">
      <pivotArea type="data" outline="0" fieldPosition="0">
        <references count="2">
          <reference field="4294967294" count="1" selected="0">
            <x v="0"/>
          </reference>
          <reference field="0" count="1" selected="0">
            <x v="33"/>
          </reference>
        </references>
      </pivotArea>
    </chartFormat>
    <chartFormat chart="7" format="97">
      <pivotArea type="data" outline="0" fieldPosition="0">
        <references count="2">
          <reference field="4294967294" count="1" selected="0">
            <x v="0"/>
          </reference>
          <reference field="0" count="1" selected="0">
            <x v="34"/>
          </reference>
        </references>
      </pivotArea>
    </chartFormat>
    <chartFormat chart="7" format="98">
      <pivotArea type="data" outline="0" fieldPosition="0">
        <references count="2">
          <reference field="4294967294" count="1" selected="0">
            <x v="0"/>
          </reference>
          <reference field="0" count="1" selected="0">
            <x v="35"/>
          </reference>
        </references>
      </pivotArea>
    </chartFormat>
    <chartFormat chart="7" format="99">
      <pivotArea type="data" outline="0" fieldPosition="0">
        <references count="2">
          <reference field="4294967294" count="1" selected="0">
            <x v="0"/>
          </reference>
          <reference field="0" count="1" selected="0">
            <x v="36"/>
          </reference>
        </references>
      </pivotArea>
    </chartFormat>
    <chartFormat chart="7" format="100">
      <pivotArea type="data" outline="0" fieldPosition="0">
        <references count="2">
          <reference field="4294967294" count="1" selected="0">
            <x v="0"/>
          </reference>
          <reference field="0" count="1" selected="0">
            <x v="37"/>
          </reference>
        </references>
      </pivotArea>
    </chartFormat>
    <chartFormat chart="7" format="101">
      <pivotArea type="data" outline="0" fieldPosition="0">
        <references count="2">
          <reference field="4294967294" count="1" selected="0">
            <x v="0"/>
          </reference>
          <reference field="0" count="1" selected="0">
            <x v="38"/>
          </reference>
        </references>
      </pivotArea>
    </chartFormat>
    <chartFormat chart="7" format="102">
      <pivotArea type="data" outline="0" fieldPosition="0">
        <references count="2">
          <reference field="4294967294" count="1" selected="0">
            <x v="0"/>
          </reference>
          <reference field="0" count="1" selected="0">
            <x v="39"/>
          </reference>
        </references>
      </pivotArea>
    </chartFormat>
    <chartFormat chart="7" format="103">
      <pivotArea type="data" outline="0" fieldPosition="0">
        <references count="2">
          <reference field="4294967294" count="1" selected="0">
            <x v="0"/>
          </reference>
          <reference field="0" count="1" selected="0">
            <x v="40"/>
          </reference>
        </references>
      </pivotArea>
    </chartFormat>
    <chartFormat chart="7" format="104">
      <pivotArea type="data" outline="0" fieldPosition="0">
        <references count="2">
          <reference field="4294967294" count="1" selected="0">
            <x v="0"/>
          </reference>
          <reference field="0" count="1" selected="0">
            <x v="41"/>
          </reference>
        </references>
      </pivotArea>
    </chartFormat>
    <chartFormat chart="7" format="105">
      <pivotArea type="data" outline="0" fieldPosition="0">
        <references count="2">
          <reference field="4294967294" count="1" selected="0">
            <x v="0"/>
          </reference>
          <reference field="0" count="1" selected="0">
            <x v="42"/>
          </reference>
        </references>
      </pivotArea>
    </chartFormat>
    <chartFormat chart="7" format="106">
      <pivotArea type="data" outline="0" fieldPosition="0">
        <references count="2">
          <reference field="4294967294" count="1" selected="0">
            <x v="0"/>
          </reference>
          <reference field="0" count="1" selected="0">
            <x v="43"/>
          </reference>
        </references>
      </pivotArea>
    </chartFormat>
    <chartFormat chart="7" format="107">
      <pivotArea type="data" outline="0" fieldPosition="0">
        <references count="2">
          <reference field="4294967294" count="1" selected="0">
            <x v="0"/>
          </reference>
          <reference field="0" count="1" selected="0">
            <x v="44"/>
          </reference>
        </references>
      </pivotArea>
    </chartFormat>
    <chartFormat chart="7" format="108">
      <pivotArea type="data" outline="0" fieldPosition="0">
        <references count="2">
          <reference field="4294967294" count="1" selected="0">
            <x v="0"/>
          </reference>
          <reference field="0" count="1" selected="0">
            <x v="45"/>
          </reference>
        </references>
      </pivotArea>
    </chartFormat>
    <chartFormat chart="7" format="109">
      <pivotArea type="data" outline="0" fieldPosition="0">
        <references count="2">
          <reference field="4294967294" count="1" selected="0">
            <x v="0"/>
          </reference>
          <reference field="0" count="1" selected="0">
            <x v="46"/>
          </reference>
        </references>
      </pivotArea>
    </chartFormat>
    <chartFormat chart="7" format="110">
      <pivotArea type="data" outline="0" fieldPosition="0">
        <references count="2">
          <reference field="4294967294" count="1" selected="0">
            <x v="0"/>
          </reference>
          <reference field="0" count="1" selected="0">
            <x v="47"/>
          </reference>
        </references>
      </pivotArea>
    </chartFormat>
    <chartFormat chart="7" format="111">
      <pivotArea type="data" outline="0" fieldPosition="0">
        <references count="2">
          <reference field="4294967294" count="1" selected="0">
            <x v="0"/>
          </reference>
          <reference field="0" count="1" selected="0">
            <x v="48"/>
          </reference>
        </references>
      </pivotArea>
    </chartFormat>
    <chartFormat chart="7" format="112">
      <pivotArea type="data" outline="0" fieldPosition="0">
        <references count="2">
          <reference field="4294967294" count="1" selected="0">
            <x v="0"/>
          </reference>
          <reference field="0" count="1" selected="0">
            <x v="49"/>
          </reference>
        </references>
      </pivotArea>
    </chartFormat>
    <chartFormat chart="7" format="113">
      <pivotArea type="data" outline="0" fieldPosition="0">
        <references count="2">
          <reference field="4294967294" count="1" selected="0">
            <x v="0"/>
          </reference>
          <reference field="0" count="1" selected="0">
            <x v="50"/>
          </reference>
        </references>
      </pivotArea>
    </chartFormat>
    <chartFormat chart="7" format="114">
      <pivotArea type="data" outline="0" fieldPosition="0">
        <references count="2">
          <reference field="4294967294" count="1" selected="0">
            <x v="0"/>
          </reference>
          <reference field="0" count="1" selected="0">
            <x v="51"/>
          </reference>
        </references>
      </pivotArea>
    </chartFormat>
    <chartFormat chart="7" format="115">
      <pivotArea type="data" outline="0" fieldPosition="0">
        <references count="2">
          <reference field="4294967294" count="1" selected="0">
            <x v="0"/>
          </reference>
          <reference field="0" count="1" selected="0">
            <x v="52"/>
          </reference>
        </references>
      </pivotArea>
    </chartFormat>
    <chartFormat chart="7" format="116">
      <pivotArea type="data" outline="0" fieldPosition="0">
        <references count="2">
          <reference field="4294967294" count="1" selected="0">
            <x v="0"/>
          </reference>
          <reference field="0" count="1" selected="0">
            <x v="53"/>
          </reference>
        </references>
      </pivotArea>
    </chartFormat>
    <chartFormat chart="7" format="117">
      <pivotArea type="data" outline="0" fieldPosition="0">
        <references count="2">
          <reference field="4294967294" count="1" selected="0">
            <x v="0"/>
          </reference>
          <reference field="0" count="1" selected="0">
            <x v="54"/>
          </reference>
        </references>
      </pivotArea>
    </chartFormat>
    <chartFormat chart="7" format="118">
      <pivotArea type="data" outline="0" fieldPosition="0">
        <references count="2">
          <reference field="4294967294" count="1" selected="0">
            <x v="0"/>
          </reference>
          <reference field="0" count="1" selected="0">
            <x v="55"/>
          </reference>
        </references>
      </pivotArea>
    </chartFormat>
    <chartFormat chart="7" format="119">
      <pivotArea type="data" outline="0" fieldPosition="0">
        <references count="2">
          <reference field="4294967294" count="1" selected="0">
            <x v="0"/>
          </reference>
          <reference field="0" count="1" selected="0">
            <x v="56"/>
          </reference>
        </references>
      </pivotArea>
    </chartFormat>
    <chartFormat chart="7" format="120">
      <pivotArea type="data" outline="0" fieldPosition="0">
        <references count="2">
          <reference field="4294967294" count="1" selected="0">
            <x v="0"/>
          </reference>
          <reference field="0" count="1" selected="0">
            <x v="57"/>
          </reference>
        </references>
      </pivotArea>
    </chartFormat>
    <chartFormat chart="7" format="121">
      <pivotArea type="data" outline="0" fieldPosition="0">
        <references count="2">
          <reference field="4294967294" count="1" selected="0">
            <x v="0"/>
          </reference>
          <reference field="0" count="1" selected="0">
            <x v="58"/>
          </reference>
        </references>
      </pivotArea>
    </chartFormat>
    <chartFormat chart="7" format="122">
      <pivotArea type="data" outline="0" fieldPosition="0">
        <references count="2">
          <reference field="4294967294" count="1" selected="0">
            <x v="0"/>
          </reference>
          <reference field="0" count="1" selected="0">
            <x v="59"/>
          </reference>
        </references>
      </pivotArea>
    </chartFormat>
    <chartFormat chart="8" format="123" series="1">
      <pivotArea type="data" outline="0" fieldPosition="0">
        <references count="1">
          <reference field="4294967294" count="1" selected="0">
            <x v="0"/>
          </reference>
        </references>
      </pivotArea>
    </chartFormat>
    <chartFormat chart="8" format="124">
      <pivotArea type="data" outline="0" fieldPosition="0">
        <references count="2">
          <reference field="4294967294" count="1" selected="0">
            <x v="0"/>
          </reference>
          <reference field="0" count="1" selected="0">
            <x v="0"/>
          </reference>
        </references>
      </pivotArea>
    </chartFormat>
    <chartFormat chart="8" format="125">
      <pivotArea type="data" outline="0" fieldPosition="0">
        <references count="2">
          <reference field="4294967294" count="1" selected="0">
            <x v="0"/>
          </reference>
          <reference field="0" count="1" selected="0">
            <x v="1"/>
          </reference>
        </references>
      </pivotArea>
    </chartFormat>
    <chartFormat chart="8" format="126">
      <pivotArea type="data" outline="0" fieldPosition="0">
        <references count="2">
          <reference field="4294967294" count="1" selected="0">
            <x v="0"/>
          </reference>
          <reference field="0" count="1" selected="0">
            <x v="2"/>
          </reference>
        </references>
      </pivotArea>
    </chartFormat>
    <chartFormat chart="8" format="127">
      <pivotArea type="data" outline="0" fieldPosition="0">
        <references count="2">
          <reference field="4294967294" count="1" selected="0">
            <x v="0"/>
          </reference>
          <reference field="0" count="1" selected="0">
            <x v="3"/>
          </reference>
        </references>
      </pivotArea>
    </chartFormat>
    <chartFormat chart="8" format="128">
      <pivotArea type="data" outline="0" fieldPosition="0">
        <references count="2">
          <reference field="4294967294" count="1" selected="0">
            <x v="0"/>
          </reference>
          <reference field="0" count="1" selected="0">
            <x v="4"/>
          </reference>
        </references>
      </pivotArea>
    </chartFormat>
    <chartFormat chart="8" format="129">
      <pivotArea type="data" outline="0" fieldPosition="0">
        <references count="2">
          <reference field="4294967294" count="1" selected="0">
            <x v="0"/>
          </reference>
          <reference field="0" count="1" selected="0">
            <x v="5"/>
          </reference>
        </references>
      </pivotArea>
    </chartFormat>
    <chartFormat chart="8" format="130">
      <pivotArea type="data" outline="0" fieldPosition="0">
        <references count="2">
          <reference field="4294967294" count="1" selected="0">
            <x v="0"/>
          </reference>
          <reference field="0" count="1" selected="0">
            <x v="6"/>
          </reference>
        </references>
      </pivotArea>
    </chartFormat>
    <chartFormat chart="8" format="131">
      <pivotArea type="data" outline="0" fieldPosition="0">
        <references count="2">
          <reference field="4294967294" count="1" selected="0">
            <x v="0"/>
          </reference>
          <reference field="0" count="1" selected="0">
            <x v="7"/>
          </reference>
        </references>
      </pivotArea>
    </chartFormat>
    <chartFormat chart="8" format="132">
      <pivotArea type="data" outline="0" fieldPosition="0">
        <references count="2">
          <reference field="4294967294" count="1" selected="0">
            <x v="0"/>
          </reference>
          <reference field="0" count="1" selected="0">
            <x v="8"/>
          </reference>
        </references>
      </pivotArea>
    </chartFormat>
    <chartFormat chart="8" format="133">
      <pivotArea type="data" outline="0" fieldPosition="0">
        <references count="2">
          <reference field="4294967294" count="1" selected="0">
            <x v="0"/>
          </reference>
          <reference field="0" count="1" selected="0">
            <x v="9"/>
          </reference>
        </references>
      </pivotArea>
    </chartFormat>
    <chartFormat chart="8" format="134">
      <pivotArea type="data" outline="0" fieldPosition="0">
        <references count="2">
          <reference field="4294967294" count="1" selected="0">
            <x v="0"/>
          </reference>
          <reference field="0" count="1" selected="0">
            <x v="10"/>
          </reference>
        </references>
      </pivotArea>
    </chartFormat>
    <chartFormat chart="8" format="135">
      <pivotArea type="data" outline="0" fieldPosition="0">
        <references count="2">
          <reference field="4294967294" count="1" selected="0">
            <x v="0"/>
          </reference>
          <reference field="0" count="1" selected="0">
            <x v="11"/>
          </reference>
        </references>
      </pivotArea>
    </chartFormat>
    <chartFormat chart="8" format="136">
      <pivotArea type="data" outline="0" fieldPosition="0">
        <references count="2">
          <reference field="4294967294" count="1" selected="0">
            <x v="0"/>
          </reference>
          <reference field="0" count="1" selected="0">
            <x v="12"/>
          </reference>
        </references>
      </pivotArea>
    </chartFormat>
    <chartFormat chart="8" format="137">
      <pivotArea type="data" outline="0" fieldPosition="0">
        <references count="2">
          <reference field="4294967294" count="1" selected="0">
            <x v="0"/>
          </reference>
          <reference field="0" count="1" selected="0">
            <x v="13"/>
          </reference>
        </references>
      </pivotArea>
    </chartFormat>
    <chartFormat chart="8" format="138">
      <pivotArea type="data" outline="0" fieldPosition="0">
        <references count="2">
          <reference field="4294967294" count="1" selected="0">
            <x v="0"/>
          </reference>
          <reference field="0" count="1" selected="0">
            <x v="14"/>
          </reference>
        </references>
      </pivotArea>
    </chartFormat>
    <chartFormat chart="8" format="139">
      <pivotArea type="data" outline="0" fieldPosition="0">
        <references count="2">
          <reference field="4294967294" count="1" selected="0">
            <x v="0"/>
          </reference>
          <reference field="0" count="1" selected="0">
            <x v="15"/>
          </reference>
        </references>
      </pivotArea>
    </chartFormat>
    <chartFormat chart="8" format="140">
      <pivotArea type="data" outline="0" fieldPosition="0">
        <references count="2">
          <reference field="4294967294" count="1" selected="0">
            <x v="0"/>
          </reference>
          <reference field="0" count="1" selected="0">
            <x v="16"/>
          </reference>
        </references>
      </pivotArea>
    </chartFormat>
    <chartFormat chart="8" format="141">
      <pivotArea type="data" outline="0" fieldPosition="0">
        <references count="2">
          <reference field="4294967294" count="1" selected="0">
            <x v="0"/>
          </reference>
          <reference field="0" count="1" selected="0">
            <x v="17"/>
          </reference>
        </references>
      </pivotArea>
    </chartFormat>
    <chartFormat chart="8" format="142">
      <pivotArea type="data" outline="0" fieldPosition="0">
        <references count="2">
          <reference field="4294967294" count="1" selected="0">
            <x v="0"/>
          </reference>
          <reference field="0" count="1" selected="0">
            <x v="18"/>
          </reference>
        </references>
      </pivotArea>
    </chartFormat>
    <chartFormat chart="8" format="143">
      <pivotArea type="data" outline="0" fieldPosition="0">
        <references count="2">
          <reference field="4294967294" count="1" selected="0">
            <x v="0"/>
          </reference>
          <reference field="0" count="1" selected="0">
            <x v="19"/>
          </reference>
        </references>
      </pivotArea>
    </chartFormat>
    <chartFormat chart="8" format="144">
      <pivotArea type="data" outline="0" fieldPosition="0">
        <references count="2">
          <reference field="4294967294" count="1" selected="0">
            <x v="0"/>
          </reference>
          <reference field="0" count="1" selected="0">
            <x v="20"/>
          </reference>
        </references>
      </pivotArea>
    </chartFormat>
    <chartFormat chart="8" format="145">
      <pivotArea type="data" outline="0" fieldPosition="0">
        <references count="2">
          <reference field="4294967294" count="1" selected="0">
            <x v="0"/>
          </reference>
          <reference field="0" count="1" selected="0">
            <x v="21"/>
          </reference>
        </references>
      </pivotArea>
    </chartFormat>
    <chartFormat chart="8" format="146">
      <pivotArea type="data" outline="0" fieldPosition="0">
        <references count="2">
          <reference field="4294967294" count="1" selected="0">
            <x v="0"/>
          </reference>
          <reference field="0" count="1" selected="0">
            <x v="22"/>
          </reference>
        </references>
      </pivotArea>
    </chartFormat>
    <chartFormat chart="8" format="147">
      <pivotArea type="data" outline="0" fieldPosition="0">
        <references count="2">
          <reference field="4294967294" count="1" selected="0">
            <x v="0"/>
          </reference>
          <reference field="0" count="1" selected="0">
            <x v="23"/>
          </reference>
        </references>
      </pivotArea>
    </chartFormat>
    <chartFormat chart="8" format="148">
      <pivotArea type="data" outline="0" fieldPosition="0">
        <references count="2">
          <reference field="4294967294" count="1" selected="0">
            <x v="0"/>
          </reference>
          <reference field="0" count="1" selected="0">
            <x v="24"/>
          </reference>
        </references>
      </pivotArea>
    </chartFormat>
    <chartFormat chart="8" format="149">
      <pivotArea type="data" outline="0" fieldPosition="0">
        <references count="2">
          <reference field="4294967294" count="1" selected="0">
            <x v="0"/>
          </reference>
          <reference field="0" count="1" selected="0">
            <x v="25"/>
          </reference>
        </references>
      </pivotArea>
    </chartFormat>
    <chartFormat chart="8" format="150">
      <pivotArea type="data" outline="0" fieldPosition="0">
        <references count="2">
          <reference field="4294967294" count="1" selected="0">
            <x v="0"/>
          </reference>
          <reference field="0" count="1" selected="0">
            <x v="26"/>
          </reference>
        </references>
      </pivotArea>
    </chartFormat>
    <chartFormat chart="8" format="151">
      <pivotArea type="data" outline="0" fieldPosition="0">
        <references count="2">
          <reference field="4294967294" count="1" selected="0">
            <x v="0"/>
          </reference>
          <reference field="0" count="1" selected="0">
            <x v="27"/>
          </reference>
        </references>
      </pivotArea>
    </chartFormat>
    <chartFormat chart="8" format="152">
      <pivotArea type="data" outline="0" fieldPosition="0">
        <references count="2">
          <reference field="4294967294" count="1" selected="0">
            <x v="0"/>
          </reference>
          <reference field="0" count="1" selected="0">
            <x v="28"/>
          </reference>
        </references>
      </pivotArea>
    </chartFormat>
    <chartFormat chart="8" format="153">
      <pivotArea type="data" outline="0" fieldPosition="0">
        <references count="2">
          <reference field="4294967294" count="1" selected="0">
            <x v="0"/>
          </reference>
          <reference field="0" count="1" selected="0">
            <x v="29"/>
          </reference>
        </references>
      </pivotArea>
    </chartFormat>
    <chartFormat chart="8" format="154">
      <pivotArea type="data" outline="0" fieldPosition="0">
        <references count="2">
          <reference field="4294967294" count="1" selected="0">
            <x v="0"/>
          </reference>
          <reference field="0" count="1" selected="0">
            <x v="30"/>
          </reference>
        </references>
      </pivotArea>
    </chartFormat>
    <chartFormat chart="8" format="155">
      <pivotArea type="data" outline="0" fieldPosition="0">
        <references count="2">
          <reference field="4294967294" count="1" selected="0">
            <x v="0"/>
          </reference>
          <reference field="0" count="1" selected="0">
            <x v="31"/>
          </reference>
        </references>
      </pivotArea>
    </chartFormat>
    <chartFormat chart="8" format="156">
      <pivotArea type="data" outline="0" fieldPosition="0">
        <references count="2">
          <reference field="4294967294" count="1" selected="0">
            <x v="0"/>
          </reference>
          <reference field="0" count="1" selected="0">
            <x v="32"/>
          </reference>
        </references>
      </pivotArea>
    </chartFormat>
    <chartFormat chart="8" format="157">
      <pivotArea type="data" outline="0" fieldPosition="0">
        <references count="2">
          <reference field="4294967294" count="1" selected="0">
            <x v="0"/>
          </reference>
          <reference field="0" count="1" selected="0">
            <x v="33"/>
          </reference>
        </references>
      </pivotArea>
    </chartFormat>
    <chartFormat chart="8" format="158">
      <pivotArea type="data" outline="0" fieldPosition="0">
        <references count="2">
          <reference field="4294967294" count="1" selected="0">
            <x v="0"/>
          </reference>
          <reference field="0" count="1" selected="0">
            <x v="34"/>
          </reference>
        </references>
      </pivotArea>
    </chartFormat>
    <chartFormat chart="8" format="159">
      <pivotArea type="data" outline="0" fieldPosition="0">
        <references count="2">
          <reference field="4294967294" count="1" selected="0">
            <x v="0"/>
          </reference>
          <reference field="0" count="1" selected="0">
            <x v="35"/>
          </reference>
        </references>
      </pivotArea>
    </chartFormat>
    <chartFormat chart="8" format="160">
      <pivotArea type="data" outline="0" fieldPosition="0">
        <references count="2">
          <reference field="4294967294" count="1" selected="0">
            <x v="0"/>
          </reference>
          <reference field="0" count="1" selected="0">
            <x v="36"/>
          </reference>
        </references>
      </pivotArea>
    </chartFormat>
    <chartFormat chart="8" format="161">
      <pivotArea type="data" outline="0" fieldPosition="0">
        <references count="2">
          <reference field="4294967294" count="1" selected="0">
            <x v="0"/>
          </reference>
          <reference field="0" count="1" selected="0">
            <x v="37"/>
          </reference>
        </references>
      </pivotArea>
    </chartFormat>
    <chartFormat chart="8" format="162">
      <pivotArea type="data" outline="0" fieldPosition="0">
        <references count="2">
          <reference field="4294967294" count="1" selected="0">
            <x v="0"/>
          </reference>
          <reference field="0" count="1" selected="0">
            <x v="38"/>
          </reference>
        </references>
      </pivotArea>
    </chartFormat>
    <chartFormat chart="8" format="163">
      <pivotArea type="data" outline="0" fieldPosition="0">
        <references count="2">
          <reference field="4294967294" count="1" selected="0">
            <x v="0"/>
          </reference>
          <reference field="0" count="1" selected="0">
            <x v="39"/>
          </reference>
        </references>
      </pivotArea>
    </chartFormat>
    <chartFormat chart="8" format="164">
      <pivotArea type="data" outline="0" fieldPosition="0">
        <references count="2">
          <reference field="4294967294" count="1" selected="0">
            <x v="0"/>
          </reference>
          <reference field="0" count="1" selected="0">
            <x v="40"/>
          </reference>
        </references>
      </pivotArea>
    </chartFormat>
    <chartFormat chart="8" format="165">
      <pivotArea type="data" outline="0" fieldPosition="0">
        <references count="2">
          <reference field="4294967294" count="1" selected="0">
            <x v="0"/>
          </reference>
          <reference field="0" count="1" selected="0">
            <x v="41"/>
          </reference>
        </references>
      </pivotArea>
    </chartFormat>
    <chartFormat chart="8" format="166">
      <pivotArea type="data" outline="0" fieldPosition="0">
        <references count="2">
          <reference field="4294967294" count="1" selected="0">
            <x v="0"/>
          </reference>
          <reference field="0" count="1" selected="0">
            <x v="42"/>
          </reference>
        </references>
      </pivotArea>
    </chartFormat>
    <chartFormat chart="8" format="167">
      <pivotArea type="data" outline="0" fieldPosition="0">
        <references count="2">
          <reference field="4294967294" count="1" selected="0">
            <x v="0"/>
          </reference>
          <reference field="0" count="1" selected="0">
            <x v="43"/>
          </reference>
        </references>
      </pivotArea>
    </chartFormat>
    <chartFormat chart="8" format="168">
      <pivotArea type="data" outline="0" fieldPosition="0">
        <references count="2">
          <reference field="4294967294" count="1" selected="0">
            <x v="0"/>
          </reference>
          <reference field="0" count="1" selected="0">
            <x v="44"/>
          </reference>
        </references>
      </pivotArea>
    </chartFormat>
    <chartFormat chart="8" format="169">
      <pivotArea type="data" outline="0" fieldPosition="0">
        <references count="2">
          <reference field="4294967294" count="1" selected="0">
            <x v="0"/>
          </reference>
          <reference field="0" count="1" selected="0">
            <x v="45"/>
          </reference>
        </references>
      </pivotArea>
    </chartFormat>
    <chartFormat chart="8" format="170">
      <pivotArea type="data" outline="0" fieldPosition="0">
        <references count="2">
          <reference field="4294967294" count="1" selected="0">
            <x v="0"/>
          </reference>
          <reference field="0" count="1" selected="0">
            <x v="46"/>
          </reference>
        </references>
      </pivotArea>
    </chartFormat>
    <chartFormat chart="8" format="171">
      <pivotArea type="data" outline="0" fieldPosition="0">
        <references count="2">
          <reference field="4294967294" count="1" selected="0">
            <x v="0"/>
          </reference>
          <reference field="0" count="1" selected="0">
            <x v="47"/>
          </reference>
        </references>
      </pivotArea>
    </chartFormat>
    <chartFormat chart="8" format="172">
      <pivotArea type="data" outline="0" fieldPosition="0">
        <references count="2">
          <reference field="4294967294" count="1" selected="0">
            <x v="0"/>
          </reference>
          <reference field="0" count="1" selected="0">
            <x v="48"/>
          </reference>
        </references>
      </pivotArea>
    </chartFormat>
    <chartFormat chart="8" format="173">
      <pivotArea type="data" outline="0" fieldPosition="0">
        <references count="2">
          <reference field="4294967294" count="1" selected="0">
            <x v="0"/>
          </reference>
          <reference field="0" count="1" selected="0">
            <x v="49"/>
          </reference>
        </references>
      </pivotArea>
    </chartFormat>
    <chartFormat chart="8" format="174">
      <pivotArea type="data" outline="0" fieldPosition="0">
        <references count="2">
          <reference field="4294967294" count="1" selected="0">
            <x v="0"/>
          </reference>
          <reference field="0" count="1" selected="0">
            <x v="50"/>
          </reference>
        </references>
      </pivotArea>
    </chartFormat>
    <chartFormat chart="8" format="175">
      <pivotArea type="data" outline="0" fieldPosition="0">
        <references count="2">
          <reference field="4294967294" count="1" selected="0">
            <x v="0"/>
          </reference>
          <reference field="0" count="1" selected="0">
            <x v="51"/>
          </reference>
        </references>
      </pivotArea>
    </chartFormat>
    <chartFormat chart="8" format="176">
      <pivotArea type="data" outline="0" fieldPosition="0">
        <references count="2">
          <reference field="4294967294" count="1" selected="0">
            <x v="0"/>
          </reference>
          <reference field="0" count="1" selected="0">
            <x v="52"/>
          </reference>
        </references>
      </pivotArea>
    </chartFormat>
    <chartFormat chart="8" format="177">
      <pivotArea type="data" outline="0" fieldPosition="0">
        <references count="2">
          <reference field="4294967294" count="1" selected="0">
            <x v="0"/>
          </reference>
          <reference field="0" count="1" selected="0">
            <x v="53"/>
          </reference>
        </references>
      </pivotArea>
    </chartFormat>
    <chartFormat chart="8" format="178">
      <pivotArea type="data" outline="0" fieldPosition="0">
        <references count="2">
          <reference field="4294967294" count="1" selected="0">
            <x v="0"/>
          </reference>
          <reference field="0" count="1" selected="0">
            <x v="54"/>
          </reference>
        </references>
      </pivotArea>
    </chartFormat>
    <chartFormat chart="8" format="179">
      <pivotArea type="data" outline="0" fieldPosition="0">
        <references count="2">
          <reference field="4294967294" count="1" selected="0">
            <x v="0"/>
          </reference>
          <reference field="0" count="1" selected="0">
            <x v="55"/>
          </reference>
        </references>
      </pivotArea>
    </chartFormat>
    <chartFormat chart="8" format="180">
      <pivotArea type="data" outline="0" fieldPosition="0">
        <references count="2">
          <reference field="4294967294" count="1" selected="0">
            <x v="0"/>
          </reference>
          <reference field="0" count="1" selected="0">
            <x v="56"/>
          </reference>
        </references>
      </pivotArea>
    </chartFormat>
    <chartFormat chart="8" format="181">
      <pivotArea type="data" outline="0" fieldPosition="0">
        <references count="2">
          <reference field="4294967294" count="1" selected="0">
            <x v="0"/>
          </reference>
          <reference field="0" count="1" selected="0">
            <x v="57"/>
          </reference>
        </references>
      </pivotArea>
    </chartFormat>
    <chartFormat chart="8" format="182">
      <pivotArea type="data" outline="0" fieldPosition="0">
        <references count="2">
          <reference field="4294967294" count="1" selected="0">
            <x v="0"/>
          </reference>
          <reference field="0" count="1" selected="0">
            <x v="58"/>
          </reference>
        </references>
      </pivotArea>
    </chartFormat>
    <chartFormat chart="8" format="183">
      <pivotArea type="data" outline="0" fieldPosition="0">
        <references count="2">
          <reference field="4294967294" count="1" selected="0">
            <x v="0"/>
          </reference>
          <reference field="0" count="1" selected="0">
            <x v="59"/>
          </reference>
        </references>
      </pivotArea>
    </chartFormat>
    <chartFormat chart="9" format="184" series="1">
      <pivotArea type="data" outline="0" fieldPosition="0">
        <references count="1">
          <reference field="4294967294" count="1" selected="0">
            <x v="0"/>
          </reference>
        </references>
      </pivotArea>
    </chartFormat>
    <chartFormat chart="9" format="185">
      <pivotArea type="data" outline="0" fieldPosition="0">
        <references count="2">
          <reference field="4294967294" count="1" selected="0">
            <x v="0"/>
          </reference>
          <reference field="0" count="1" selected="0">
            <x v="0"/>
          </reference>
        </references>
      </pivotArea>
    </chartFormat>
    <chartFormat chart="9" format="186">
      <pivotArea type="data" outline="0" fieldPosition="0">
        <references count="2">
          <reference field="4294967294" count="1" selected="0">
            <x v="0"/>
          </reference>
          <reference field="0" count="1" selected="0">
            <x v="1"/>
          </reference>
        </references>
      </pivotArea>
    </chartFormat>
    <chartFormat chart="9" format="187">
      <pivotArea type="data" outline="0" fieldPosition="0">
        <references count="2">
          <reference field="4294967294" count="1" selected="0">
            <x v="0"/>
          </reference>
          <reference field="0" count="1" selected="0">
            <x v="2"/>
          </reference>
        </references>
      </pivotArea>
    </chartFormat>
    <chartFormat chart="9" format="188">
      <pivotArea type="data" outline="0" fieldPosition="0">
        <references count="2">
          <reference field="4294967294" count="1" selected="0">
            <x v="0"/>
          </reference>
          <reference field="0" count="1" selected="0">
            <x v="3"/>
          </reference>
        </references>
      </pivotArea>
    </chartFormat>
    <chartFormat chart="9" format="189">
      <pivotArea type="data" outline="0" fieldPosition="0">
        <references count="2">
          <reference field="4294967294" count="1" selected="0">
            <x v="0"/>
          </reference>
          <reference field="0" count="1" selected="0">
            <x v="4"/>
          </reference>
        </references>
      </pivotArea>
    </chartFormat>
    <chartFormat chart="9" format="190">
      <pivotArea type="data" outline="0" fieldPosition="0">
        <references count="2">
          <reference field="4294967294" count="1" selected="0">
            <x v="0"/>
          </reference>
          <reference field="0" count="1" selected="0">
            <x v="5"/>
          </reference>
        </references>
      </pivotArea>
    </chartFormat>
    <chartFormat chart="9" format="191">
      <pivotArea type="data" outline="0" fieldPosition="0">
        <references count="2">
          <reference field="4294967294" count="1" selected="0">
            <x v="0"/>
          </reference>
          <reference field="0" count="1" selected="0">
            <x v="6"/>
          </reference>
        </references>
      </pivotArea>
    </chartFormat>
    <chartFormat chart="9" format="192">
      <pivotArea type="data" outline="0" fieldPosition="0">
        <references count="2">
          <reference field="4294967294" count="1" selected="0">
            <x v="0"/>
          </reference>
          <reference field="0" count="1" selected="0">
            <x v="7"/>
          </reference>
        </references>
      </pivotArea>
    </chartFormat>
    <chartFormat chart="9" format="193">
      <pivotArea type="data" outline="0" fieldPosition="0">
        <references count="2">
          <reference field="4294967294" count="1" selected="0">
            <x v="0"/>
          </reference>
          <reference field="0" count="1" selected="0">
            <x v="8"/>
          </reference>
        </references>
      </pivotArea>
    </chartFormat>
    <chartFormat chart="9" format="194">
      <pivotArea type="data" outline="0" fieldPosition="0">
        <references count="2">
          <reference field="4294967294" count="1" selected="0">
            <x v="0"/>
          </reference>
          <reference field="0" count="1" selected="0">
            <x v="9"/>
          </reference>
        </references>
      </pivotArea>
    </chartFormat>
    <chartFormat chart="9" format="195">
      <pivotArea type="data" outline="0" fieldPosition="0">
        <references count="2">
          <reference field="4294967294" count="1" selected="0">
            <x v="0"/>
          </reference>
          <reference field="0" count="1" selected="0">
            <x v="10"/>
          </reference>
        </references>
      </pivotArea>
    </chartFormat>
    <chartFormat chart="9" format="196">
      <pivotArea type="data" outline="0" fieldPosition="0">
        <references count="2">
          <reference field="4294967294" count="1" selected="0">
            <x v="0"/>
          </reference>
          <reference field="0" count="1" selected="0">
            <x v="11"/>
          </reference>
        </references>
      </pivotArea>
    </chartFormat>
    <chartFormat chart="9" format="197">
      <pivotArea type="data" outline="0" fieldPosition="0">
        <references count="2">
          <reference field="4294967294" count="1" selected="0">
            <x v="0"/>
          </reference>
          <reference field="0" count="1" selected="0">
            <x v="12"/>
          </reference>
        </references>
      </pivotArea>
    </chartFormat>
    <chartFormat chart="9" format="198">
      <pivotArea type="data" outline="0" fieldPosition="0">
        <references count="2">
          <reference field="4294967294" count="1" selected="0">
            <x v="0"/>
          </reference>
          <reference field="0" count="1" selected="0">
            <x v="13"/>
          </reference>
        </references>
      </pivotArea>
    </chartFormat>
    <chartFormat chart="9" format="199">
      <pivotArea type="data" outline="0" fieldPosition="0">
        <references count="2">
          <reference field="4294967294" count="1" selected="0">
            <x v="0"/>
          </reference>
          <reference field="0" count="1" selected="0">
            <x v="14"/>
          </reference>
        </references>
      </pivotArea>
    </chartFormat>
    <chartFormat chart="9" format="200">
      <pivotArea type="data" outline="0" fieldPosition="0">
        <references count="2">
          <reference field="4294967294" count="1" selected="0">
            <x v="0"/>
          </reference>
          <reference field="0" count="1" selected="0">
            <x v="15"/>
          </reference>
        </references>
      </pivotArea>
    </chartFormat>
    <chartFormat chart="9" format="201">
      <pivotArea type="data" outline="0" fieldPosition="0">
        <references count="2">
          <reference field="4294967294" count="1" selected="0">
            <x v="0"/>
          </reference>
          <reference field="0" count="1" selected="0">
            <x v="16"/>
          </reference>
        </references>
      </pivotArea>
    </chartFormat>
    <chartFormat chart="9" format="202">
      <pivotArea type="data" outline="0" fieldPosition="0">
        <references count="2">
          <reference field="4294967294" count="1" selected="0">
            <x v="0"/>
          </reference>
          <reference field="0" count="1" selected="0">
            <x v="17"/>
          </reference>
        </references>
      </pivotArea>
    </chartFormat>
    <chartFormat chart="9" format="203">
      <pivotArea type="data" outline="0" fieldPosition="0">
        <references count="2">
          <reference field="4294967294" count="1" selected="0">
            <x v="0"/>
          </reference>
          <reference field="0" count="1" selected="0">
            <x v="18"/>
          </reference>
        </references>
      </pivotArea>
    </chartFormat>
    <chartFormat chart="9" format="204">
      <pivotArea type="data" outline="0" fieldPosition="0">
        <references count="2">
          <reference field="4294967294" count="1" selected="0">
            <x v="0"/>
          </reference>
          <reference field="0" count="1" selected="0">
            <x v="19"/>
          </reference>
        </references>
      </pivotArea>
    </chartFormat>
    <chartFormat chart="9" format="205">
      <pivotArea type="data" outline="0" fieldPosition="0">
        <references count="2">
          <reference field="4294967294" count="1" selected="0">
            <x v="0"/>
          </reference>
          <reference field="0" count="1" selected="0">
            <x v="20"/>
          </reference>
        </references>
      </pivotArea>
    </chartFormat>
    <chartFormat chart="9" format="206">
      <pivotArea type="data" outline="0" fieldPosition="0">
        <references count="2">
          <reference field="4294967294" count="1" selected="0">
            <x v="0"/>
          </reference>
          <reference field="0" count="1" selected="0">
            <x v="21"/>
          </reference>
        </references>
      </pivotArea>
    </chartFormat>
    <chartFormat chart="9" format="207">
      <pivotArea type="data" outline="0" fieldPosition="0">
        <references count="2">
          <reference field="4294967294" count="1" selected="0">
            <x v="0"/>
          </reference>
          <reference field="0" count="1" selected="0">
            <x v="22"/>
          </reference>
        </references>
      </pivotArea>
    </chartFormat>
    <chartFormat chart="9" format="208">
      <pivotArea type="data" outline="0" fieldPosition="0">
        <references count="2">
          <reference field="4294967294" count="1" selected="0">
            <x v="0"/>
          </reference>
          <reference field="0" count="1" selected="0">
            <x v="23"/>
          </reference>
        </references>
      </pivotArea>
    </chartFormat>
    <chartFormat chart="9" format="209">
      <pivotArea type="data" outline="0" fieldPosition="0">
        <references count="2">
          <reference field="4294967294" count="1" selected="0">
            <x v="0"/>
          </reference>
          <reference field="0" count="1" selected="0">
            <x v="24"/>
          </reference>
        </references>
      </pivotArea>
    </chartFormat>
    <chartFormat chart="9" format="210">
      <pivotArea type="data" outline="0" fieldPosition="0">
        <references count="2">
          <reference field="4294967294" count="1" selected="0">
            <x v="0"/>
          </reference>
          <reference field="0" count="1" selected="0">
            <x v="25"/>
          </reference>
        </references>
      </pivotArea>
    </chartFormat>
    <chartFormat chart="9" format="211">
      <pivotArea type="data" outline="0" fieldPosition="0">
        <references count="2">
          <reference field="4294967294" count="1" selected="0">
            <x v="0"/>
          </reference>
          <reference field="0" count="1" selected="0">
            <x v="26"/>
          </reference>
        </references>
      </pivotArea>
    </chartFormat>
    <chartFormat chart="9" format="212">
      <pivotArea type="data" outline="0" fieldPosition="0">
        <references count="2">
          <reference field="4294967294" count="1" selected="0">
            <x v="0"/>
          </reference>
          <reference field="0" count="1" selected="0">
            <x v="27"/>
          </reference>
        </references>
      </pivotArea>
    </chartFormat>
    <chartFormat chart="9" format="213">
      <pivotArea type="data" outline="0" fieldPosition="0">
        <references count="2">
          <reference field="4294967294" count="1" selected="0">
            <x v="0"/>
          </reference>
          <reference field="0" count="1" selected="0">
            <x v="28"/>
          </reference>
        </references>
      </pivotArea>
    </chartFormat>
    <chartFormat chart="9" format="214">
      <pivotArea type="data" outline="0" fieldPosition="0">
        <references count="2">
          <reference field="4294967294" count="1" selected="0">
            <x v="0"/>
          </reference>
          <reference field="0" count="1" selected="0">
            <x v="29"/>
          </reference>
        </references>
      </pivotArea>
    </chartFormat>
    <chartFormat chart="9" format="215">
      <pivotArea type="data" outline="0" fieldPosition="0">
        <references count="2">
          <reference field="4294967294" count="1" selected="0">
            <x v="0"/>
          </reference>
          <reference field="0" count="1" selected="0">
            <x v="30"/>
          </reference>
        </references>
      </pivotArea>
    </chartFormat>
    <chartFormat chart="9" format="216">
      <pivotArea type="data" outline="0" fieldPosition="0">
        <references count="2">
          <reference field="4294967294" count="1" selected="0">
            <x v="0"/>
          </reference>
          <reference field="0" count="1" selected="0">
            <x v="31"/>
          </reference>
        </references>
      </pivotArea>
    </chartFormat>
    <chartFormat chart="9" format="217">
      <pivotArea type="data" outline="0" fieldPosition="0">
        <references count="2">
          <reference field="4294967294" count="1" selected="0">
            <x v="0"/>
          </reference>
          <reference field="0" count="1" selected="0">
            <x v="32"/>
          </reference>
        </references>
      </pivotArea>
    </chartFormat>
    <chartFormat chart="9" format="218">
      <pivotArea type="data" outline="0" fieldPosition="0">
        <references count="2">
          <reference field="4294967294" count="1" selected="0">
            <x v="0"/>
          </reference>
          <reference field="0" count="1" selected="0">
            <x v="33"/>
          </reference>
        </references>
      </pivotArea>
    </chartFormat>
    <chartFormat chart="9" format="219">
      <pivotArea type="data" outline="0" fieldPosition="0">
        <references count="2">
          <reference field="4294967294" count="1" selected="0">
            <x v="0"/>
          </reference>
          <reference field="0" count="1" selected="0">
            <x v="34"/>
          </reference>
        </references>
      </pivotArea>
    </chartFormat>
    <chartFormat chart="9" format="220">
      <pivotArea type="data" outline="0" fieldPosition="0">
        <references count="2">
          <reference field="4294967294" count="1" selected="0">
            <x v="0"/>
          </reference>
          <reference field="0" count="1" selected="0">
            <x v="35"/>
          </reference>
        </references>
      </pivotArea>
    </chartFormat>
    <chartFormat chart="9" format="221">
      <pivotArea type="data" outline="0" fieldPosition="0">
        <references count="2">
          <reference field="4294967294" count="1" selected="0">
            <x v="0"/>
          </reference>
          <reference field="0" count="1" selected="0">
            <x v="36"/>
          </reference>
        </references>
      </pivotArea>
    </chartFormat>
    <chartFormat chart="9" format="222">
      <pivotArea type="data" outline="0" fieldPosition="0">
        <references count="2">
          <reference field="4294967294" count="1" selected="0">
            <x v="0"/>
          </reference>
          <reference field="0" count="1" selected="0">
            <x v="37"/>
          </reference>
        </references>
      </pivotArea>
    </chartFormat>
    <chartFormat chart="9" format="223">
      <pivotArea type="data" outline="0" fieldPosition="0">
        <references count="2">
          <reference field="4294967294" count="1" selected="0">
            <x v="0"/>
          </reference>
          <reference field="0" count="1" selected="0">
            <x v="38"/>
          </reference>
        </references>
      </pivotArea>
    </chartFormat>
    <chartFormat chart="9" format="224">
      <pivotArea type="data" outline="0" fieldPosition="0">
        <references count="2">
          <reference field="4294967294" count="1" selected="0">
            <x v="0"/>
          </reference>
          <reference field="0" count="1" selected="0">
            <x v="39"/>
          </reference>
        </references>
      </pivotArea>
    </chartFormat>
    <chartFormat chart="9" format="225">
      <pivotArea type="data" outline="0" fieldPosition="0">
        <references count="2">
          <reference field="4294967294" count="1" selected="0">
            <x v="0"/>
          </reference>
          <reference field="0" count="1" selected="0">
            <x v="40"/>
          </reference>
        </references>
      </pivotArea>
    </chartFormat>
    <chartFormat chart="9" format="226">
      <pivotArea type="data" outline="0" fieldPosition="0">
        <references count="2">
          <reference field="4294967294" count="1" selected="0">
            <x v="0"/>
          </reference>
          <reference field="0" count="1" selected="0">
            <x v="41"/>
          </reference>
        </references>
      </pivotArea>
    </chartFormat>
    <chartFormat chart="9" format="227">
      <pivotArea type="data" outline="0" fieldPosition="0">
        <references count="2">
          <reference field="4294967294" count="1" selected="0">
            <x v="0"/>
          </reference>
          <reference field="0" count="1" selected="0">
            <x v="42"/>
          </reference>
        </references>
      </pivotArea>
    </chartFormat>
    <chartFormat chart="9" format="228">
      <pivotArea type="data" outline="0" fieldPosition="0">
        <references count="2">
          <reference field="4294967294" count="1" selected="0">
            <x v="0"/>
          </reference>
          <reference field="0" count="1" selected="0">
            <x v="43"/>
          </reference>
        </references>
      </pivotArea>
    </chartFormat>
    <chartFormat chart="9" format="229">
      <pivotArea type="data" outline="0" fieldPosition="0">
        <references count="2">
          <reference field="4294967294" count="1" selected="0">
            <x v="0"/>
          </reference>
          <reference field="0" count="1" selected="0">
            <x v="44"/>
          </reference>
        </references>
      </pivotArea>
    </chartFormat>
    <chartFormat chart="9" format="230">
      <pivotArea type="data" outline="0" fieldPosition="0">
        <references count="2">
          <reference field="4294967294" count="1" selected="0">
            <x v="0"/>
          </reference>
          <reference field="0" count="1" selected="0">
            <x v="45"/>
          </reference>
        </references>
      </pivotArea>
    </chartFormat>
    <chartFormat chart="9" format="231">
      <pivotArea type="data" outline="0" fieldPosition="0">
        <references count="2">
          <reference field="4294967294" count="1" selected="0">
            <x v="0"/>
          </reference>
          <reference field="0" count="1" selected="0">
            <x v="46"/>
          </reference>
        </references>
      </pivotArea>
    </chartFormat>
    <chartFormat chart="9" format="232">
      <pivotArea type="data" outline="0" fieldPosition="0">
        <references count="2">
          <reference field="4294967294" count="1" selected="0">
            <x v="0"/>
          </reference>
          <reference field="0" count="1" selected="0">
            <x v="47"/>
          </reference>
        </references>
      </pivotArea>
    </chartFormat>
    <chartFormat chart="9" format="233">
      <pivotArea type="data" outline="0" fieldPosition="0">
        <references count="2">
          <reference field="4294967294" count="1" selected="0">
            <x v="0"/>
          </reference>
          <reference field="0" count="1" selected="0">
            <x v="48"/>
          </reference>
        </references>
      </pivotArea>
    </chartFormat>
    <chartFormat chart="9" format="234">
      <pivotArea type="data" outline="0" fieldPosition="0">
        <references count="2">
          <reference field="4294967294" count="1" selected="0">
            <x v="0"/>
          </reference>
          <reference field="0" count="1" selected="0">
            <x v="49"/>
          </reference>
        </references>
      </pivotArea>
    </chartFormat>
    <chartFormat chart="9" format="235">
      <pivotArea type="data" outline="0" fieldPosition="0">
        <references count="2">
          <reference field="4294967294" count="1" selected="0">
            <x v="0"/>
          </reference>
          <reference field="0" count="1" selected="0">
            <x v="50"/>
          </reference>
        </references>
      </pivotArea>
    </chartFormat>
    <chartFormat chart="9" format="236">
      <pivotArea type="data" outline="0" fieldPosition="0">
        <references count="2">
          <reference field="4294967294" count="1" selected="0">
            <x v="0"/>
          </reference>
          <reference field="0" count="1" selected="0">
            <x v="51"/>
          </reference>
        </references>
      </pivotArea>
    </chartFormat>
    <chartFormat chart="9" format="237">
      <pivotArea type="data" outline="0" fieldPosition="0">
        <references count="2">
          <reference field="4294967294" count="1" selected="0">
            <x v="0"/>
          </reference>
          <reference field="0" count="1" selected="0">
            <x v="52"/>
          </reference>
        </references>
      </pivotArea>
    </chartFormat>
    <chartFormat chart="9" format="238">
      <pivotArea type="data" outline="0" fieldPosition="0">
        <references count="2">
          <reference field="4294967294" count="1" selected="0">
            <x v="0"/>
          </reference>
          <reference field="0" count="1" selected="0">
            <x v="53"/>
          </reference>
        </references>
      </pivotArea>
    </chartFormat>
    <chartFormat chart="9" format="239">
      <pivotArea type="data" outline="0" fieldPosition="0">
        <references count="2">
          <reference field="4294967294" count="1" selected="0">
            <x v="0"/>
          </reference>
          <reference field="0" count="1" selected="0">
            <x v="54"/>
          </reference>
        </references>
      </pivotArea>
    </chartFormat>
    <chartFormat chart="9" format="240">
      <pivotArea type="data" outline="0" fieldPosition="0">
        <references count="2">
          <reference field="4294967294" count="1" selected="0">
            <x v="0"/>
          </reference>
          <reference field="0" count="1" selected="0">
            <x v="55"/>
          </reference>
        </references>
      </pivotArea>
    </chartFormat>
    <chartFormat chart="9" format="241">
      <pivotArea type="data" outline="0" fieldPosition="0">
        <references count="2">
          <reference field="4294967294" count="1" selected="0">
            <x v="0"/>
          </reference>
          <reference field="0" count="1" selected="0">
            <x v="56"/>
          </reference>
        </references>
      </pivotArea>
    </chartFormat>
    <chartFormat chart="9" format="242">
      <pivotArea type="data" outline="0" fieldPosition="0">
        <references count="2">
          <reference field="4294967294" count="1" selected="0">
            <x v="0"/>
          </reference>
          <reference field="0" count="1" selected="0">
            <x v="57"/>
          </reference>
        </references>
      </pivotArea>
    </chartFormat>
    <chartFormat chart="9" format="243">
      <pivotArea type="data" outline="0" fieldPosition="0">
        <references count="2">
          <reference field="4294967294" count="1" selected="0">
            <x v="0"/>
          </reference>
          <reference field="0" count="1" selected="0">
            <x v="58"/>
          </reference>
        </references>
      </pivotArea>
    </chartFormat>
    <chartFormat chart="9" format="244">
      <pivotArea type="data" outline="0" fieldPosition="0">
        <references count="2">
          <reference field="4294967294" count="1" selected="0">
            <x v="0"/>
          </reference>
          <reference field="0" count="1" selected="0">
            <x v="59"/>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 chart="4" format="9">
      <pivotArea type="data" outline="0" fieldPosition="0">
        <references count="2">
          <reference field="4294967294" count="1" selected="0">
            <x v="0"/>
          </reference>
          <reference field="0" count="1" selected="0">
            <x v="8"/>
          </reference>
        </references>
      </pivotArea>
    </chartFormat>
    <chartFormat chart="4" format="10">
      <pivotArea type="data" outline="0" fieldPosition="0">
        <references count="2">
          <reference field="4294967294" count="1" selected="0">
            <x v="0"/>
          </reference>
          <reference field="0" count="1" selected="0">
            <x v="9"/>
          </reference>
        </references>
      </pivotArea>
    </chartFormat>
    <chartFormat chart="4" format="11">
      <pivotArea type="data" outline="0" fieldPosition="0">
        <references count="2">
          <reference field="4294967294" count="1" selected="0">
            <x v="0"/>
          </reference>
          <reference field="0" count="1" selected="0">
            <x v="10"/>
          </reference>
        </references>
      </pivotArea>
    </chartFormat>
    <chartFormat chart="4" format="12">
      <pivotArea type="data" outline="0" fieldPosition="0">
        <references count="2">
          <reference field="4294967294" count="1" selected="0">
            <x v="0"/>
          </reference>
          <reference field="0" count="1" selected="0">
            <x v="11"/>
          </reference>
        </references>
      </pivotArea>
    </chartFormat>
    <chartFormat chart="4" format="13">
      <pivotArea type="data" outline="0" fieldPosition="0">
        <references count="2">
          <reference field="4294967294" count="1" selected="0">
            <x v="0"/>
          </reference>
          <reference field="0" count="1" selected="0">
            <x v="12"/>
          </reference>
        </references>
      </pivotArea>
    </chartFormat>
    <chartFormat chart="4" format="14">
      <pivotArea type="data" outline="0" fieldPosition="0">
        <references count="2">
          <reference field="4294967294" count="1" selected="0">
            <x v="0"/>
          </reference>
          <reference field="0" count="1" selected="0">
            <x v="13"/>
          </reference>
        </references>
      </pivotArea>
    </chartFormat>
    <chartFormat chart="4" format="15">
      <pivotArea type="data" outline="0" fieldPosition="0">
        <references count="2">
          <reference field="4294967294" count="1" selected="0">
            <x v="0"/>
          </reference>
          <reference field="0" count="1" selected="0">
            <x v="14"/>
          </reference>
        </references>
      </pivotArea>
    </chartFormat>
    <chartFormat chart="4" format="16">
      <pivotArea type="data" outline="0" fieldPosition="0">
        <references count="2">
          <reference field="4294967294" count="1" selected="0">
            <x v="0"/>
          </reference>
          <reference field="0" count="1" selected="0">
            <x v="15"/>
          </reference>
        </references>
      </pivotArea>
    </chartFormat>
    <chartFormat chart="4" format="17">
      <pivotArea type="data" outline="0" fieldPosition="0">
        <references count="2">
          <reference field="4294967294" count="1" selected="0">
            <x v="0"/>
          </reference>
          <reference field="0" count="1" selected="0">
            <x v="16"/>
          </reference>
        </references>
      </pivotArea>
    </chartFormat>
    <chartFormat chart="4" format="18">
      <pivotArea type="data" outline="0" fieldPosition="0">
        <references count="2">
          <reference field="4294967294" count="1" selected="0">
            <x v="0"/>
          </reference>
          <reference field="0" count="1" selected="0">
            <x v="17"/>
          </reference>
        </references>
      </pivotArea>
    </chartFormat>
    <chartFormat chart="4" format="19">
      <pivotArea type="data" outline="0" fieldPosition="0">
        <references count="2">
          <reference field="4294967294" count="1" selected="0">
            <x v="0"/>
          </reference>
          <reference field="0" count="1" selected="0">
            <x v="18"/>
          </reference>
        </references>
      </pivotArea>
    </chartFormat>
    <chartFormat chart="4" format="20">
      <pivotArea type="data" outline="0" fieldPosition="0">
        <references count="2">
          <reference field="4294967294" count="1" selected="0">
            <x v="0"/>
          </reference>
          <reference field="0" count="1" selected="0">
            <x v="19"/>
          </reference>
        </references>
      </pivotArea>
    </chartFormat>
    <chartFormat chart="4" format="21">
      <pivotArea type="data" outline="0" fieldPosition="0">
        <references count="2">
          <reference field="4294967294" count="1" selected="0">
            <x v="0"/>
          </reference>
          <reference field="0" count="1" selected="0">
            <x v="20"/>
          </reference>
        </references>
      </pivotArea>
    </chartFormat>
    <chartFormat chart="4" format="22">
      <pivotArea type="data" outline="0" fieldPosition="0">
        <references count="2">
          <reference field="4294967294" count="1" selected="0">
            <x v="0"/>
          </reference>
          <reference field="0" count="1" selected="0">
            <x v="21"/>
          </reference>
        </references>
      </pivotArea>
    </chartFormat>
    <chartFormat chart="4" format="23">
      <pivotArea type="data" outline="0" fieldPosition="0">
        <references count="2">
          <reference field="4294967294" count="1" selected="0">
            <x v="0"/>
          </reference>
          <reference field="0" count="1" selected="0">
            <x v="22"/>
          </reference>
        </references>
      </pivotArea>
    </chartFormat>
    <chartFormat chart="4" format="24">
      <pivotArea type="data" outline="0" fieldPosition="0">
        <references count="2">
          <reference field="4294967294" count="1" selected="0">
            <x v="0"/>
          </reference>
          <reference field="0" count="1" selected="0">
            <x v="23"/>
          </reference>
        </references>
      </pivotArea>
    </chartFormat>
    <chartFormat chart="4" format="25">
      <pivotArea type="data" outline="0" fieldPosition="0">
        <references count="2">
          <reference field="4294967294" count="1" selected="0">
            <x v="0"/>
          </reference>
          <reference field="0" count="1" selected="0">
            <x v="24"/>
          </reference>
        </references>
      </pivotArea>
    </chartFormat>
    <chartFormat chart="4" format="26">
      <pivotArea type="data" outline="0" fieldPosition="0">
        <references count="2">
          <reference field="4294967294" count="1" selected="0">
            <x v="0"/>
          </reference>
          <reference field="0" count="1" selected="0">
            <x v="25"/>
          </reference>
        </references>
      </pivotArea>
    </chartFormat>
    <chartFormat chart="4" format="27">
      <pivotArea type="data" outline="0" fieldPosition="0">
        <references count="2">
          <reference field="4294967294" count="1" selected="0">
            <x v="0"/>
          </reference>
          <reference field="0" count="1" selected="0">
            <x v="26"/>
          </reference>
        </references>
      </pivotArea>
    </chartFormat>
    <chartFormat chart="4" format="28">
      <pivotArea type="data" outline="0" fieldPosition="0">
        <references count="2">
          <reference field="4294967294" count="1" selected="0">
            <x v="0"/>
          </reference>
          <reference field="0" count="1" selected="0">
            <x v="27"/>
          </reference>
        </references>
      </pivotArea>
    </chartFormat>
    <chartFormat chart="4" format="29">
      <pivotArea type="data" outline="0" fieldPosition="0">
        <references count="2">
          <reference field="4294967294" count="1" selected="0">
            <x v="0"/>
          </reference>
          <reference field="0" count="1" selected="0">
            <x v="28"/>
          </reference>
        </references>
      </pivotArea>
    </chartFormat>
    <chartFormat chart="4" format="30">
      <pivotArea type="data" outline="0" fieldPosition="0">
        <references count="2">
          <reference field="4294967294" count="1" selected="0">
            <x v="0"/>
          </reference>
          <reference field="0" count="1" selected="0">
            <x v="29"/>
          </reference>
        </references>
      </pivotArea>
    </chartFormat>
    <chartFormat chart="4" format="31">
      <pivotArea type="data" outline="0" fieldPosition="0">
        <references count="2">
          <reference field="4294967294" count="1" selected="0">
            <x v="0"/>
          </reference>
          <reference field="0" count="1" selected="0">
            <x v="30"/>
          </reference>
        </references>
      </pivotArea>
    </chartFormat>
    <chartFormat chart="4" format="32">
      <pivotArea type="data" outline="0" fieldPosition="0">
        <references count="2">
          <reference field="4294967294" count="1" selected="0">
            <x v="0"/>
          </reference>
          <reference field="0" count="1" selected="0">
            <x v="31"/>
          </reference>
        </references>
      </pivotArea>
    </chartFormat>
    <chartFormat chart="4" format="33">
      <pivotArea type="data" outline="0" fieldPosition="0">
        <references count="2">
          <reference field="4294967294" count="1" selected="0">
            <x v="0"/>
          </reference>
          <reference field="0" count="1" selected="0">
            <x v="32"/>
          </reference>
        </references>
      </pivotArea>
    </chartFormat>
    <chartFormat chart="4" format="34">
      <pivotArea type="data" outline="0" fieldPosition="0">
        <references count="2">
          <reference field="4294967294" count="1" selected="0">
            <x v="0"/>
          </reference>
          <reference field="0" count="1" selected="0">
            <x v="33"/>
          </reference>
        </references>
      </pivotArea>
    </chartFormat>
    <chartFormat chart="4" format="35">
      <pivotArea type="data" outline="0" fieldPosition="0">
        <references count="2">
          <reference field="4294967294" count="1" selected="0">
            <x v="0"/>
          </reference>
          <reference field="0" count="1" selected="0">
            <x v="34"/>
          </reference>
        </references>
      </pivotArea>
    </chartFormat>
    <chartFormat chart="4" format="36">
      <pivotArea type="data" outline="0" fieldPosition="0">
        <references count="2">
          <reference field="4294967294" count="1" selected="0">
            <x v="0"/>
          </reference>
          <reference field="0" count="1" selected="0">
            <x v="35"/>
          </reference>
        </references>
      </pivotArea>
    </chartFormat>
    <chartFormat chart="4" format="37">
      <pivotArea type="data" outline="0" fieldPosition="0">
        <references count="2">
          <reference field="4294967294" count="1" selected="0">
            <x v="0"/>
          </reference>
          <reference field="0" count="1" selected="0">
            <x v="36"/>
          </reference>
        </references>
      </pivotArea>
    </chartFormat>
    <chartFormat chart="4" format="38">
      <pivotArea type="data" outline="0" fieldPosition="0">
        <references count="2">
          <reference field="4294967294" count="1" selected="0">
            <x v="0"/>
          </reference>
          <reference field="0" count="1" selected="0">
            <x v="37"/>
          </reference>
        </references>
      </pivotArea>
    </chartFormat>
    <chartFormat chart="4" format="39">
      <pivotArea type="data" outline="0" fieldPosition="0">
        <references count="2">
          <reference field="4294967294" count="1" selected="0">
            <x v="0"/>
          </reference>
          <reference field="0" count="1" selected="0">
            <x v="38"/>
          </reference>
        </references>
      </pivotArea>
    </chartFormat>
    <chartFormat chart="4" format="40">
      <pivotArea type="data" outline="0" fieldPosition="0">
        <references count="2">
          <reference field="4294967294" count="1" selected="0">
            <x v="0"/>
          </reference>
          <reference field="0" count="1" selected="0">
            <x v="39"/>
          </reference>
        </references>
      </pivotArea>
    </chartFormat>
    <chartFormat chart="4" format="41">
      <pivotArea type="data" outline="0" fieldPosition="0">
        <references count="2">
          <reference field="4294967294" count="1" selected="0">
            <x v="0"/>
          </reference>
          <reference field="0" count="1" selected="0">
            <x v="40"/>
          </reference>
        </references>
      </pivotArea>
    </chartFormat>
    <chartFormat chart="4" format="42">
      <pivotArea type="data" outline="0" fieldPosition="0">
        <references count="2">
          <reference field="4294967294" count="1" selected="0">
            <x v="0"/>
          </reference>
          <reference field="0" count="1" selected="0">
            <x v="41"/>
          </reference>
        </references>
      </pivotArea>
    </chartFormat>
    <chartFormat chart="4" format="43">
      <pivotArea type="data" outline="0" fieldPosition="0">
        <references count="2">
          <reference field="4294967294" count="1" selected="0">
            <x v="0"/>
          </reference>
          <reference field="0" count="1" selected="0">
            <x v="42"/>
          </reference>
        </references>
      </pivotArea>
    </chartFormat>
    <chartFormat chart="4" format="44">
      <pivotArea type="data" outline="0" fieldPosition="0">
        <references count="2">
          <reference field="4294967294" count="1" selected="0">
            <x v="0"/>
          </reference>
          <reference field="0" count="1" selected="0">
            <x v="43"/>
          </reference>
        </references>
      </pivotArea>
    </chartFormat>
    <chartFormat chart="4" format="45">
      <pivotArea type="data" outline="0" fieldPosition="0">
        <references count="2">
          <reference field="4294967294" count="1" selected="0">
            <x v="0"/>
          </reference>
          <reference field="0" count="1" selected="0">
            <x v="44"/>
          </reference>
        </references>
      </pivotArea>
    </chartFormat>
    <chartFormat chart="4" format="46">
      <pivotArea type="data" outline="0" fieldPosition="0">
        <references count="2">
          <reference field="4294967294" count="1" selected="0">
            <x v="0"/>
          </reference>
          <reference field="0" count="1" selected="0">
            <x v="45"/>
          </reference>
        </references>
      </pivotArea>
    </chartFormat>
    <chartFormat chart="4" format="47">
      <pivotArea type="data" outline="0" fieldPosition="0">
        <references count="2">
          <reference field="4294967294" count="1" selected="0">
            <x v="0"/>
          </reference>
          <reference field="0" count="1" selected="0">
            <x v="46"/>
          </reference>
        </references>
      </pivotArea>
    </chartFormat>
    <chartFormat chart="4" format="48">
      <pivotArea type="data" outline="0" fieldPosition="0">
        <references count="2">
          <reference field="4294967294" count="1" selected="0">
            <x v="0"/>
          </reference>
          <reference field="0" count="1" selected="0">
            <x v="47"/>
          </reference>
        </references>
      </pivotArea>
    </chartFormat>
    <chartFormat chart="4" format="49">
      <pivotArea type="data" outline="0" fieldPosition="0">
        <references count="2">
          <reference field="4294967294" count="1" selected="0">
            <x v="0"/>
          </reference>
          <reference field="0" count="1" selected="0">
            <x v="48"/>
          </reference>
        </references>
      </pivotArea>
    </chartFormat>
    <chartFormat chart="4" format="50">
      <pivotArea type="data" outline="0" fieldPosition="0">
        <references count="2">
          <reference field="4294967294" count="1" selected="0">
            <x v="0"/>
          </reference>
          <reference field="0" count="1" selected="0">
            <x v="49"/>
          </reference>
        </references>
      </pivotArea>
    </chartFormat>
    <chartFormat chart="4" format="51">
      <pivotArea type="data" outline="0" fieldPosition="0">
        <references count="2">
          <reference field="4294967294" count="1" selected="0">
            <x v="0"/>
          </reference>
          <reference field="0" count="1" selected="0">
            <x v="50"/>
          </reference>
        </references>
      </pivotArea>
    </chartFormat>
    <chartFormat chart="4" format="52">
      <pivotArea type="data" outline="0" fieldPosition="0">
        <references count="2">
          <reference field="4294967294" count="1" selected="0">
            <x v="0"/>
          </reference>
          <reference field="0" count="1" selected="0">
            <x v="51"/>
          </reference>
        </references>
      </pivotArea>
    </chartFormat>
    <chartFormat chart="4" format="53">
      <pivotArea type="data" outline="0" fieldPosition="0">
        <references count="2">
          <reference field="4294967294" count="1" selected="0">
            <x v="0"/>
          </reference>
          <reference field="0" count="1" selected="0">
            <x v="52"/>
          </reference>
        </references>
      </pivotArea>
    </chartFormat>
    <chartFormat chart="4" format="54">
      <pivotArea type="data" outline="0" fieldPosition="0">
        <references count="2">
          <reference field="4294967294" count="1" selected="0">
            <x v="0"/>
          </reference>
          <reference field="0" count="1" selected="0">
            <x v="53"/>
          </reference>
        </references>
      </pivotArea>
    </chartFormat>
    <chartFormat chart="4" format="55">
      <pivotArea type="data" outline="0" fieldPosition="0">
        <references count="2">
          <reference field="4294967294" count="1" selected="0">
            <x v="0"/>
          </reference>
          <reference field="0" count="1" selected="0">
            <x v="54"/>
          </reference>
        </references>
      </pivotArea>
    </chartFormat>
    <chartFormat chart="4" format="56">
      <pivotArea type="data" outline="0" fieldPosition="0">
        <references count="2">
          <reference field="4294967294" count="1" selected="0">
            <x v="0"/>
          </reference>
          <reference field="0" count="1" selected="0">
            <x v="55"/>
          </reference>
        </references>
      </pivotArea>
    </chartFormat>
    <chartFormat chart="4" format="57">
      <pivotArea type="data" outline="0" fieldPosition="0">
        <references count="2">
          <reference field="4294967294" count="1" selected="0">
            <x v="0"/>
          </reference>
          <reference field="0" count="1" selected="0">
            <x v="56"/>
          </reference>
        </references>
      </pivotArea>
    </chartFormat>
    <chartFormat chart="4" format="58">
      <pivotArea type="data" outline="0" fieldPosition="0">
        <references count="2">
          <reference field="4294967294" count="1" selected="0">
            <x v="0"/>
          </reference>
          <reference field="0" count="1" selected="0">
            <x v="57"/>
          </reference>
        </references>
      </pivotArea>
    </chartFormat>
    <chartFormat chart="4" format="59">
      <pivotArea type="data" outline="0" fieldPosition="0">
        <references count="2">
          <reference field="4294967294" count="1" selected="0">
            <x v="0"/>
          </reference>
          <reference field="0" count="1" selected="0">
            <x v="58"/>
          </reference>
        </references>
      </pivotArea>
    </chartFormat>
    <chartFormat chart="4" format="60">
      <pivotArea type="data" outline="0" fieldPosition="0">
        <references count="2">
          <reference field="4294967294" count="1" selected="0">
            <x v="0"/>
          </reference>
          <reference field="0" count="1" selected="0">
            <x v="5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5"/>
  </pivotTables>
  <data>
    <tabular pivotCacheId="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3" name="PivotTable5"/>
  </pivotTables>
  <data>
    <tabular pivotCacheId="1">
      <items count="14">
        <i x="6" s="1"/>
        <i x="2" s="1"/>
        <i x="4" s="1"/>
        <i x="11" s="1"/>
        <i x="8" s="1"/>
        <i x="1" s="1"/>
        <i x="0" s="1"/>
        <i x="3" s="1"/>
        <i x="7" s="1"/>
        <i x="9" s="1"/>
        <i x="12" s="1"/>
        <i x="10" s="1"/>
        <i x="5"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amount" sourceName="Actual amount">
  <pivotTables>
    <pivotTable tabId="3" name="PivotTable5"/>
  </pivotTables>
  <data>
    <tabular pivotCacheId="1">
      <items count="33">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Discription" cache="Slicer_Discription" caption="Discription" rowHeight="241300"/>
  <slicer name="Actual amount" cache="Slicer_Actual_amount" caption="Actual amou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Discription 1" cache="Slicer_Discription" caption="Discription" rowHeight="241300"/>
  <slicer name="Actual amount 1" cache="Slicer_Actual_amount" caption="Actual amou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64"/>
  <sheetViews>
    <sheetView topLeftCell="A50" workbookViewId="0">
      <selection activeCell="G37" sqref="G37"/>
    </sheetView>
  </sheetViews>
  <sheetFormatPr defaultRowHeight="14.25"/>
  <cols>
    <col min="1" max="1" width="13.125" bestFit="1" customWidth="1"/>
    <col min="2" max="2" width="14.75" bestFit="1" customWidth="1"/>
    <col min="4" max="4" width="13.125" bestFit="1" customWidth="1"/>
    <col min="5" max="5" width="17.25" bestFit="1" customWidth="1"/>
    <col min="8" max="8" width="13.125" bestFit="1" customWidth="1"/>
    <col min="9" max="9" width="18.875" bestFit="1" customWidth="1"/>
    <col min="13" max="13" width="13.125" bestFit="1" customWidth="1"/>
    <col min="14" max="14" width="20.125" bestFit="1" customWidth="1"/>
  </cols>
  <sheetData>
    <row r="3" spans="1:14">
      <c r="A3" s="12" t="s">
        <v>42</v>
      </c>
      <c r="B3" t="s">
        <v>44</v>
      </c>
      <c r="D3" s="12" t="s">
        <v>42</v>
      </c>
      <c r="E3" t="s">
        <v>45</v>
      </c>
      <c r="H3" s="12" t="s">
        <v>42</v>
      </c>
      <c r="I3" t="s">
        <v>46</v>
      </c>
      <c r="M3" s="12" t="s">
        <v>42</v>
      </c>
      <c r="N3" t="s">
        <v>47</v>
      </c>
    </row>
    <row r="4" spans="1:14">
      <c r="A4" s="13">
        <v>45662</v>
      </c>
      <c r="B4" s="14">
        <v>1</v>
      </c>
      <c r="D4" s="13">
        <v>45662</v>
      </c>
      <c r="E4" s="14">
        <v>1</v>
      </c>
      <c r="H4" s="13">
        <v>45662</v>
      </c>
      <c r="I4" s="14">
        <v>1</v>
      </c>
      <c r="M4" s="13">
        <v>45662</v>
      </c>
      <c r="N4" s="14">
        <v>12000</v>
      </c>
    </row>
    <row r="5" spans="1:14">
      <c r="A5" s="13">
        <v>45665</v>
      </c>
      <c r="B5" s="14">
        <v>1</v>
      </c>
      <c r="D5" s="13">
        <v>45665</v>
      </c>
      <c r="E5" s="14">
        <v>1</v>
      </c>
      <c r="H5" s="13">
        <v>45665</v>
      </c>
      <c r="I5" s="14">
        <v>1</v>
      </c>
      <c r="M5" s="13">
        <v>45665</v>
      </c>
      <c r="N5" s="14">
        <v>4200</v>
      </c>
    </row>
    <row r="6" spans="1:14">
      <c r="A6" s="13">
        <v>45669</v>
      </c>
      <c r="B6" s="14">
        <v>1</v>
      </c>
      <c r="D6" s="13">
        <v>45669</v>
      </c>
      <c r="E6" s="14">
        <v>1</v>
      </c>
      <c r="H6" s="13">
        <v>45669</v>
      </c>
      <c r="I6" s="14">
        <v>1</v>
      </c>
      <c r="M6" s="13">
        <v>45669</v>
      </c>
      <c r="N6" s="14">
        <v>2800</v>
      </c>
    </row>
    <row r="7" spans="1:14">
      <c r="A7" s="13">
        <v>45675</v>
      </c>
      <c r="B7" s="14">
        <v>1</v>
      </c>
      <c r="D7" s="13">
        <v>45675</v>
      </c>
      <c r="E7" s="14">
        <v>1</v>
      </c>
      <c r="H7" s="13">
        <v>45675</v>
      </c>
      <c r="I7" s="14">
        <v>1</v>
      </c>
      <c r="M7" s="13">
        <v>45675</v>
      </c>
      <c r="N7" s="14">
        <v>2300</v>
      </c>
    </row>
    <row r="8" spans="1:14">
      <c r="A8" s="13">
        <v>45682</v>
      </c>
      <c r="B8" s="14">
        <v>1</v>
      </c>
      <c r="D8" s="13">
        <v>45682</v>
      </c>
      <c r="E8" s="14">
        <v>1</v>
      </c>
      <c r="H8" s="13">
        <v>45682</v>
      </c>
      <c r="I8" s="14">
        <v>1</v>
      </c>
      <c r="M8" s="13">
        <v>45682</v>
      </c>
      <c r="N8" s="14">
        <v>2600</v>
      </c>
    </row>
    <row r="9" spans="1:14">
      <c r="A9" s="13">
        <v>45693</v>
      </c>
      <c r="B9" s="14">
        <v>1</v>
      </c>
      <c r="D9" s="13">
        <v>45693</v>
      </c>
      <c r="E9" s="14">
        <v>1</v>
      </c>
      <c r="H9" s="13">
        <v>45693</v>
      </c>
      <c r="I9" s="14">
        <v>1</v>
      </c>
      <c r="M9" s="13">
        <v>45693</v>
      </c>
      <c r="N9" s="14">
        <v>12000</v>
      </c>
    </row>
    <row r="10" spans="1:14">
      <c r="A10" s="13">
        <v>45697</v>
      </c>
      <c r="B10" s="14">
        <v>1</v>
      </c>
      <c r="D10" s="13">
        <v>45697</v>
      </c>
      <c r="E10" s="14">
        <v>1</v>
      </c>
      <c r="H10" s="13">
        <v>45697</v>
      </c>
      <c r="I10" s="14">
        <v>1</v>
      </c>
      <c r="M10" s="13">
        <v>45697</v>
      </c>
      <c r="N10" s="14">
        <v>5100</v>
      </c>
    </row>
    <row r="11" spans="1:14">
      <c r="A11" s="13">
        <v>45700</v>
      </c>
      <c r="B11" s="14">
        <v>1</v>
      </c>
      <c r="D11" s="13">
        <v>45700</v>
      </c>
      <c r="E11" s="14">
        <v>1</v>
      </c>
      <c r="H11" s="13">
        <v>45700</v>
      </c>
      <c r="I11" s="14">
        <v>1</v>
      </c>
      <c r="M11" s="13">
        <v>45700</v>
      </c>
      <c r="N11" s="14">
        <v>3200</v>
      </c>
    </row>
    <row r="12" spans="1:14">
      <c r="A12" s="13">
        <v>45706</v>
      </c>
      <c r="B12" s="14">
        <v>1</v>
      </c>
      <c r="D12" s="13">
        <v>45706</v>
      </c>
      <c r="E12" s="14">
        <v>1</v>
      </c>
      <c r="H12" s="13">
        <v>45706</v>
      </c>
      <c r="I12" s="14">
        <v>1</v>
      </c>
      <c r="M12" s="13">
        <v>45706</v>
      </c>
      <c r="N12" s="14">
        <v>1900</v>
      </c>
    </row>
    <row r="13" spans="1:14">
      <c r="A13" s="13">
        <v>45712</v>
      </c>
      <c r="B13" s="14">
        <v>1</v>
      </c>
      <c r="D13" s="13">
        <v>45712</v>
      </c>
      <c r="E13" s="14">
        <v>1</v>
      </c>
      <c r="H13" s="13">
        <v>45712</v>
      </c>
      <c r="I13" s="14">
        <v>1</v>
      </c>
      <c r="M13" s="13">
        <v>45712</v>
      </c>
      <c r="N13" s="14">
        <v>2400</v>
      </c>
    </row>
    <row r="14" spans="1:14">
      <c r="A14" s="13">
        <v>45721</v>
      </c>
      <c r="B14" s="14">
        <v>1</v>
      </c>
      <c r="D14" s="13">
        <v>45721</v>
      </c>
      <c r="E14" s="14">
        <v>1</v>
      </c>
      <c r="H14" s="13">
        <v>45721</v>
      </c>
      <c r="I14" s="14">
        <v>1</v>
      </c>
      <c r="M14" s="13">
        <v>45721</v>
      </c>
      <c r="N14" s="14">
        <v>12000</v>
      </c>
    </row>
    <row r="15" spans="1:14">
      <c r="A15" s="13">
        <v>45724</v>
      </c>
      <c r="B15" s="14">
        <v>1</v>
      </c>
      <c r="D15" s="13">
        <v>45724</v>
      </c>
      <c r="E15" s="14">
        <v>1</v>
      </c>
      <c r="H15" s="13">
        <v>45724</v>
      </c>
      <c r="I15" s="14">
        <v>1</v>
      </c>
      <c r="M15" s="13">
        <v>45724</v>
      </c>
      <c r="N15" s="14">
        <v>3900</v>
      </c>
    </row>
    <row r="16" spans="1:14">
      <c r="A16" s="13">
        <v>45730</v>
      </c>
      <c r="B16" s="14">
        <v>1</v>
      </c>
      <c r="D16" s="13">
        <v>45730</v>
      </c>
      <c r="E16" s="14">
        <v>1</v>
      </c>
      <c r="H16" s="13">
        <v>45730</v>
      </c>
      <c r="I16" s="14">
        <v>1</v>
      </c>
      <c r="M16" s="13">
        <v>45730</v>
      </c>
      <c r="N16" s="14">
        <v>2600</v>
      </c>
    </row>
    <row r="17" spans="1:14">
      <c r="A17" s="13">
        <v>45736</v>
      </c>
      <c r="B17" s="14">
        <v>1</v>
      </c>
      <c r="D17" s="13">
        <v>45736</v>
      </c>
      <c r="E17" s="14">
        <v>1</v>
      </c>
      <c r="H17" s="13">
        <v>45736</v>
      </c>
      <c r="I17" s="14">
        <v>1</v>
      </c>
      <c r="M17" s="13">
        <v>45736</v>
      </c>
      <c r="N17" s="14">
        <v>1500</v>
      </c>
    </row>
    <row r="18" spans="1:14">
      <c r="A18" s="13">
        <v>45742</v>
      </c>
      <c r="B18" s="14">
        <v>1</v>
      </c>
      <c r="D18" s="13">
        <v>45742</v>
      </c>
      <c r="E18" s="14">
        <v>1</v>
      </c>
      <c r="H18" s="13">
        <v>45742</v>
      </c>
      <c r="I18" s="14">
        <v>1</v>
      </c>
      <c r="M18" s="13">
        <v>45742</v>
      </c>
      <c r="N18" s="14">
        <v>2300</v>
      </c>
    </row>
    <row r="19" spans="1:14">
      <c r="A19" s="13">
        <v>45752</v>
      </c>
      <c r="B19" s="14">
        <v>1</v>
      </c>
      <c r="D19" s="13">
        <v>45752</v>
      </c>
      <c r="E19" s="14">
        <v>1</v>
      </c>
      <c r="H19" s="13">
        <v>45752</v>
      </c>
      <c r="I19" s="14">
        <v>1</v>
      </c>
      <c r="M19" s="13">
        <v>45752</v>
      </c>
      <c r="N19" s="14">
        <v>12000</v>
      </c>
    </row>
    <row r="20" spans="1:14">
      <c r="A20" s="13">
        <v>45756</v>
      </c>
      <c r="B20" s="14">
        <v>1</v>
      </c>
      <c r="D20" s="13">
        <v>45756</v>
      </c>
      <c r="E20" s="14">
        <v>1</v>
      </c>
      <c r="H20" s="13">
        <v>45756</v>
      </c>
      <c r="I20" s="14">
        <v>1</v>
      </c>
      <c r="M20" s="13">
        <v>45756</v>
      </c>
      <c r="N20" s="14">
        <v>4500</v>
      </c>
    </row>
    <row r="21" spans="1:14">
      <c r="A21" s="13">
        <v>45760</v>
      </c>
      <c r="B21" s="14">
        <v>1</v>
      </c>
      <c r="D21" s="13">
        <v>45760</v>
      </c>
      <c r="E21" s="14">
        <v>1</v>
      </c>
      <c r="H21" s="13">
        <v>45760</v>
      </c>
      <c r="I21" s="14">
        <v>1</v>
      </c>
      <c r="M21" s="13">
        <v>45760</v>
      </c>
      <c r="N21" s="14">
        <v>3000</v>
      </c>
    </row>
    <row r="22" spans="1:14">
      <c r="A22" s="13">
        <v>45766</v>
      </c>
      <c r="B22" s="14">
        <v>1</v>
      </c>
      <c r="D22" s="13">
        <v>45766</v>
      </c>
      <c r="E22" s="14">
        <v>1</v>
      </c>
      <c r="H22" s="13">
        <v>45766</v>
      </c>
      <c r="I22" s="14">
        <v>1</v>
      </c>
      <c r="M22" s="13">
        <v>45766</v>
      </c>
      <c r="N22" s="14">
        <v>2200</v>
      </c>
    </row>
    <row r="23" spans="1:14">
      <c r="A23" s="13">
        <v>45772</v>
      </c>
      <c r="B23" s="14">
        <v>1</v>
      </c>
      <c r="D23" s="13">
        <v>45772</v>
      </c>
      <c r="E23" s="14">
        <v>1</v>
      </c>
      <c r="H23" s="13">
        <v>45772</v>
      </c>
      <c r="I23" s="14">
        <v>1</v>
      </c>
      <c r="M23" s="13">
        <v>45772</v>
      </c>
      <c r="N23" s="14">
        <v>2500</v>
      </c>
    </row>
    <row r="24" spans="1:14">
      <c r="A24" s="13">
        <v>45782</v>
      </c>
      <c r="B24" s="14">
        <v>1</v>
      </c>
      <c r="D24" s="13">
        <v>45782</v>
      </c>
      <c r="E24" s="14">
        <v>1</v>
      </c>
      <c r="H24" s="13">
        <v>45782</v>
      </c>
      <c r="I24" s="14">
        <v>1</v>
      </c>
      <c r="M24" s="13">
        <v>45782</v>
      </c>
      <c r="N24" s="14">
        <v>12000</v>
      </c>
    </row>
    <row r="25" spans="1:14">
      <c r="A25" s="13">
        <v>45785</v>
      </c>
      <c r="B25" s="14">
        <v>1</v>
      </c>
      <c r="D25" s="13">
        <v>45785</v>
      </c>
      <c r="E25" s="14">
        <v>1</v>
      </c>
      <c r="H25" s="13">
        <v>45785</v>
      </c>
      <c r="I25" s="14">
        <v>1</v>
      </c>
      <c r="M25" s="13">
        <v>45785</v>
      </c>
      <c r="N25" s="14">
        <v>4800</v>
      </c>
    </row>
    <row r="26" spans="1:14">
      <c r="A26" s="13">
        <v>45791</v>
      </c>
      <c r="B26" s="14">
        <v>1</v>
      </c>
      <c r="D26" s="13">
        <v>45791</v>
      </c>
      <c r="E26" s="14">
        <v>1</v>
      </c>
      <c r="H26" s="13">
        <v>45791</v>
      </c>
      <c r="I26" s="14">
        <v>1</v>
      </c>
      <c r="M26" s="13">
        <v>45791</v>
      </c>
      <c r="N26" s="14">
        <v>2900</v>
      </c>
    </row>
    <row r="27" spans="1:14">
      <c r="A27" s="13">
        <v>45797</v>
      </c>
      <c r="B27" s="14">
        <v>1</v>
      </c>
      <c r="D27" s="13">
        <v>45797</v>
      </c>
      <c r="E27" s="14">
        <v>1</v>
      </c>
      <c r="H27" s="13">
        <v>45797</v>
      </c>
      <c r="I27" s="14">
        <v>1</v>
      </c>
      <c r="M27" s="13">
        <v>45797</v>
      </c>
      <c r="N27" s="14">
        <v>2100</v>
      </c>
    </row>
    <row r="28" spans="1:14">
      <c r="A28" s="13">
        <v>45803</v>
      </c>
      <c r="B28" s="14">
        <v>1</v>
      </c>
      <c r="D28" s="13">
        <v>45803</v>
      </c>
      <c r="E28" s="14">
        <v>1</v>
      </c>
      <c r="H28" s="13">
        <v>45803</v>
      </c>
      <c r="I28" s="14">
        <v>1</v>
      </c>
      <c r="M28" s="13">
        <v>45803</v>
      </c>
      <c r="N28" s="14">
        <v>2600</v>
      </c>
    </row>
    <row r="29" spans="1:14">
      <c r="A29" s="13">
        <v>45813</v>
      </c>
      <c r="B29" s="14">
        <v>1</v>
      </c>
      <c r="D29" s="13">
        <v>45813</v>
      </c>
      <c r="E29" s="14">
        <v>1</v>
      </c>
      <c r="H29" s="13">
        <v>45813</v>
      </c>
      <c r="I29" s="14">
        <v>1</v>
      </c>
      <c r="M29" s="13">
        <v>45813</v>
      </c>
      <c r="N29" s="14">
        <v>12000</v>
      </c>
    </row>
    <row r="30" spans="1:14">
      <c r="A30" s="13">
        <v>45817</v>
      </c>
      <c r="B30" s="14">
        <v>1</v>
      </c>
      <c r="D30" s="13">
        <v>45817</v>
      </c>
      <c r="E30" s="14">
        <v>1</v>
      </c>
      <c r="H30" s="13">
        <v>45817</v>
      </c>
      <c r="I30" s="14">
        <v>1</v>
      </c>
      <c r="M30" s="13">
        <v>45817</v>
      </c>
      <c r="N30" s="14">
        <v>5200</v>
      </c>
    </row>
    <row r="31" spans="1:14">
      <c r="A31" s="13">
        <v>45821</v>
      </c>
      <c r="B31" s="14">
        <v>1</v>
      </c>
      <c r="D31" s="13">
        <v>45821</v>
      </c>
      <c r="E31" s="14">
        <v>1</v>
      </c>
      <c r="H31" s="13">
        <v>45821</v>
      </c>
      <c r="I31" s="14">
        <v>1</v>
      </c>
      <c r="M31" s="13">
        <v>45821</v>
      </c>
      <c r="N31" s="14">
        <v>3300</v>
      </c>
    </row>
    <row r="32" spans="1:14">
      <c r="A32" s="13">
        <v>45826</v>
      </c>
      <c r="B32" s="14">
        <v>1</v>
      </c>
      <c r="D32" s="13">
        <v>45826</v>
      </c>
      <c r="E32" s="14">
        <v>1</v>
      </c>
      <c r="H32" s="13">
        <v>45826</v>
      </c>
      <c r="I32" s="14">
        <v>1</v>
      </c>
      <c r="M32" s="13">
        <v>45826</v>
      </c>
      <c r="N32" s="14">
        <v>2800</v>
      </c>
    </row>
    <row r="33" spans="1:14">
      <c r="A33" s="13">
        <v>45833</v>
      </c>
      <c r="B33" s="14">
        <v>1</v>
      </c>
      <c r="D33" s="13">
        <v>45833</v>
      </c>
      <c r="E33" s="14">
        <v>1</v>
      </c>
      <c r="H33" s="13">
        <v>45833</v>
      </c>
      <c r="I33" s="14">
        <v>1</v>
      </c>
      <c r="M33" s="13">
        <v>45833</v>
      </c>
      <c r="N33" s="14">
        <v>2700</v>
      </c>
    </row>
    <row r="34" spans="1:14">
      <c r="A34" s="13">
        <v>45843</v>
      </c>
      <c r="B34" s="14">
        <v>1</v>
      </c>
      <c r="D34" s="13">
        <v>45843</v>
      </c>
      <c r="E34" s="14">
        <v>1</v>
      </c>
      <c r="H34" s="13">
        <v>45843</v>
      </c>
      <c r="I34" s="14">
        <v>1</v>
      </c>
      <c r="M34" s="13">
        <v>45843</v>
      </c>
      <c r="N34" s="14">
        <v>12000</v>
      </c>
    </row>
    <row r="35" spans="1:14">
      <c r="A35" s="13">
        <v>45846</v>
      </c>
      <c r="B35" s="14">
        <v>1</v>
      </c>
      <c r="D35" s="13">
        <v>45846</v>
      </c>
      <c r="E35" s="14">
        <v>1</v>
      </c>
      <c r="H35" s="13">
        <v>45846</v>
      </c>
      <c r="I35" s="14">
        <v>1</v>
      </c>
      <c r="M35" s="13">
        <v>45846</v>
      </c>
      <c r="N35" s="14">
        <v>4100</v>
      </c>
    </row>
    <row r="36" spans="1:14">
      <c r="A36" s="13">
        <v>45850</v>
      </c>
      <c r="B36" s="14">
        <v>1</v>
      </c>
      <c r="D36" s="13">
        <v>45850</v>
      </c>
      <c r="E36" s="14">
        <v>1</v>
      </c>
      <c r="H36" s="13">
        <v>45850</v>
      </c>
      <c r="I36" s="14">
        <v>1</v>
      </c>
      <c r="M36" s="13">
        <v>45850</v>
      </c>
      <c r="N36" s="14">
        <v>2600</v>
      </c>
    </row>
    <row r="37" spans="1:14">
      <c r="A37" s="13">
        <v>45857</v>
      </c>
      <c r="B37" s="14">
        <v>1</v>
      </c>
      <c r="D37" s="13">
        <v>45857</v>
      </c>
      <c r="E37" s="14">
        <v>1</v>
      </c>
      <c r="H37" s="13">
        <v>45857</v>
      </c>
      <c r="I37" s="14">
        <v>1</v>
      </c>
      <c r="M37" s="13">
        <v>45857</v>
      </c>
      <c r="N37" s="14">
        <v>1800</v>
      </c>
    </row>
    <row r="38" spans="1:14">
      <c r="A38" s="13">
        <v>45864</v>
      </c>
      <c r="B38" s="14">
        <v>1</v>
      </c>
      <c r="D38" s="13">
        <v>45864</v>
      </c>
      <c r="E38" s="14">
        <v>1</v>
      </c>
      <c r="H38" s="13">
        <v>45864</v>
      </c>
      <c r="I38" s="14">
        <v>1</v>
      </c>
      <c r="M38" s="13">
        <v>45864</v>
      </c>
      <c r="N38" s="14">
        <v>2400</v>
      </c>
    </row>
    <row r="39" spans="1:14">
      <c r="A39" s="13">
        <v>45874</v>
      </c>
      <c r="B39" s="14">
        <v>1</v>
      </c>
      <c r="D39" s="13">
        <v>45874</v>
      </c>
      <c r="E39" s="14">
        <v>1</v>
      </c>
      <c r="H39" s="13">
        <v>45874</v>
      </c>
      <c r="I39" s="14">
        <v>1</v>
      </c>
      <c r="M39" s="13">
        <v>45874</v>
      </c>
      <c r="N39" s="14">
        <v>12000</v>
      </c>
    </row>
    <row r="40" spans="1:14">
      <c r="A40" s="13">
        <v>45878</v>
      </c>
      <c r="B40" s="14">
        <v>1</v>
      </c>
      <c r="D40" s="13">
        <v>45878</v>
      </c>
      <c r="E40" s="14">
        <v>1</v>
      </c>
      <c r="H40" s="13">
        <v>45878</v>
      </c>
      <c r="I40" s="14">
        <v>1</v>
      </c>
      <c r="M40" s="13">
        <v>45878</v>
      </c>
      <c r="N40" s="14">
        <v>4700</v>
      </c>
    </row>
    <row r="41" spans="1:14">
      <c r="A41" s="13">
        <v>45883</v>
      </c>
      <c r="B41" s="14">
        <v>1</v>
      </c>
      <c r="D41" s="13">
        <v>45883</v>
      </c>
      <c r="E41" s="14">
        <v>1</v>
      </c>
      <c r="H41" s="13">
        <v>45883</v>
      </c>
      <c r="I41" s="14">
        <v>1</v>
      </c>
      <c r="M41" s="13">
        <v>45883</v>
      </c>
      <c r="N41" s="14">
        <v>3100</v>
      </c>
    </row>
    <row r="42" spans="1:14">
      <c r="A42" s="13">
        <v>45889</v>
      </c>
      <c r="B42" s="14">
        <v>1</v>
      </c>
      <c r="D42" s="13">
        <v>45889</v>
      </c>
      <c r="E42" s="14">
        <v>1</v>
      </c>
      <c r="H42" s="13">
        <v>45889</v>
      </c>
      <c r="I42" s="14">
        <v>1</v>
      </c>
      <c r="M42" s="13">
        <v>45889</v>
      </c>
      <c r="N42" s="14">
        <v>2200</v>
      </c>
    </row>
    <row r="43" spans="1:14">
      <c r="A43" s="13">
        <v>45895</v>
      </c>
      <c r="B43" s="14">
        <v>1</v>
      </c>
      <c r="D43" s="13">
        <v>45895</v>
      </c>
      <c r="E43" s="14">
        <v>1</v>
      </c>
      <c r="H43" s="13">
        <v>45895</v>
      </c>
      <c r="I43" s="14">
        <v>1</v>
      </c>
      <c r="M43" s="13">
        <v>45895</v>
      </c>
      <c r="N43" s="14">
        <v>2500</v>
      </c>
    </row>
    <row r="44" spans="1:14">
      <c r="A44" s="13">
        <v>45905</v>
      </c>
      <c r="B44" s="14">
        <v>1</v>
      </c>
      <c r="D44" s="13">
        <v>45905</v>
      </c>
      <c r="E44" s="14">
        <v>1</v>
      </c>
      <c r="H44" s="13">
        <v>45905</v>
      </c>
      <c r="I44" s="14">
        <v>1</v>
      </c>
      <c r="M44" s="13">
        <v>45905</v>
      </c>
      <c r="N44" s="14">
        <v>12000</v>
      </c>
    </row>
    <row r="45" spans="1:14">
      <c r="A45" s="13">
        <v>45908</v>
      </c>
      <c r="B45" s="14">
        <v>1</v>
      </c>
      <c r="D45" s="13">
        <v>45908</v>
      </c>
      <c r="E45" s="14">
        <v>1</v>
      </c>
      <c r="H45" s="13">
        <v>45908</v>
      </c>
      <c r="I45" s="14">
        <v>1</v>
      </c>
      <c r="M45" s="13">
        <v>45908</v>
      </c>
      <c r="N45" s="14">
        <v>4300</v>
      </c>
    </row>
    <row r="46" spans="1:14">
      <c r="A46" s="13">
        <v>45913</v>
      </c>
      <c r="B46" s="14">
        <v>1</v>
      </c>
      <c r="D46" s="13">
        <v>45913</v>
      </c>
      <c r="E46" s="14">
        <v>1</v>
      </c>
      <c r="H46" s="13">
        <v>45913</v>
      </c>
      <c r="I46" s="14">
        <v>1</v>
      </c>
      <c r="M46" s="13">
        <v>45913</v>
      </c>
      <c r="N46" s="14">
        <v>2700</v>
      </c>
    </row>
    <row r="47" spans="1:14">
      <c r="A47" s="13">
        <v>45918</v>
      </c>
      <c r="B47" s="14">
        <v>1</v>
      </c>
      <c r="D47" s="13">
        <v>45918</v>
      </c>
      <c r="E47" s="14">
        <v>1</v>
      </c>
      <c r="H47" s="13">
        <v>45918</v>
      </c>
      <c r="I47" s="14">
        <v>1</v>
      </c>
      <c r="M47" s="13">
        <v>45918</v>
      </c>
      <c r="N47" s="14">
        <v>2000</v>
      </c>
    </row>
    <row r="48" spans="1:14">
      <c r="A48" s="13">
        <v>45925</v>
      </c>
      <c r="B48" s="14">
        <v>1</v>
      </c>
      <c r="D48" s="13">
        <v>45925</v>
      </c>
      <c r="E48" s="14">
        <v>1</v>
      </c>
      <c r="H48" s="13">
        <v>45925</v>
      </c>
      <c r="I48" s="14">
        <v>1</v>
      </c>
      <c r="M48" s="13">
        <v>45925</v>
      </c>
      <c r="N48" s="14">
        <v>2400</v>
      </c>
    </row>
    <row r="49" spans="1:14">
      <c r="A49" s="13">
        <v>45935</v>
      </c>
      <c r="B49" s="14">
        <v>1</v>
      </c>
      <c r="D49" s="13">
        <v>45935</v>
      </c>
      <c r="E49" s="14">
        <v>1</v>
      </c>
      <c r="H49" s="13">
        <v>45935</v>
      </c>
      <c r="I49" s="14">
        <v>1</v>
      </c>
      <c r="M49" s="13">
        <v>45935</v>
      </c>
      <c r="N49" s="14">
        <v>12000</v>
      </c>
    </row>
    <row r="50" spans="1:14">
      <c r="A50" s="13">
        <v>45939</v>
      </c>
      <c r="B50" s="14">
        <v>1</v>
      </c>
      <c r="D50" s="13">
        <v>45939</v>
      </c>
      <c r="E50" s="14">
        <v>1</v>
      </c>
      <c r="H50" s="13">
        <v>45939</v>
      </c>
      <c r="I50" s="14">
        <v>1</v>
      </c>
      <c r="M50" s="13">
        <v>45939</v>
      </c>
      <c r="N50" s="14">
        <v>5000</v>
      </c>
    </row>
    <row r="51" spans="1:14">
      <c r="A51" s="13">
        <v>45944</v>
      </c>
      <c r="B51" s="14">
        <v>1</v>
      </c>
      <c r="D51" s="13">
        <v>45944</v>
      </c>
      <c r="E51" s="14">
        <v>1</v>
      </c>
      <c r="H51" s="13">
        <v>45944</v>
      </c>
      <c r="I51" s="14">
        <v>1</v>
      </c>
      <c r="M51" s="13">
        <v>45944</v>
      </c>
      <c r="N51" s="14">
        <v>3200</v>
      </c>
    </row>
    <row r="52" spans="1:14">
      <c r="A52" s="13">
        <v>45950</v>
      </c>
      <c r="B52" s="14">
        <v>1</v>
      </c>
      <c r="D52" s="13">
        <v>45950</v>
      </c>
      <c r="E52" s="14">
        <v>1</v>
      </c>
      <c r="H52" s="13">
        <v>45950</v>
      </c>
      <c r="I52" s="14">
        <v>1</v>
      </c>
      <c r="M52" s="13">
        <v>45950</v>
      </c>
      <c r="N52" s="14">
        <v>3500</v>
      </c>
    </row>
    <row r="53" spans="1:14">
      <c r="A53" s="13">
        <v>45956</v>
      </c>
      <c r="B53" s="14">
        <v>1</v>
      </c>
      <c r="D53" s="13">
        <v>45956</v>
      </c>
      <c r="E53" s="14">
        <v>1</v>
      </c>
      <c r="H53" s="13">
        <v>45956</v>
      </c>
      <c r="I53" s="14">
        <v>1</v>
      </c>
      <c r="M53" s="13">
        <v>45956</v>
      </c>
      <c r="N53" s="14">
        <v>2800</v>
      </c>
    </row>
    <row r="54" spans="1:14">
      <c r="A54" s="13">
        <v>45966</v>
      </c>
      <c r="B54" s="14">
        <v>1</v>
      </c>
      <c r="D54" s="13">
        <v>45966</v>
      </c>
      <c r="E54" s="14">
        <v>1</v>
      </c>
      <c r="H54" s="13">
        <v>45966</v>
      </c>
      <c r="I54" s="14">
        <v>1</v>
      </c>
      <c r="M54" s="13">
        <v>45966</v>
      </c>
      <c r="N54" s="14">
        <v>12000</v>
      </c>
    </row>
    <row r="55" spans="1:14">
      <c r="A55" s="13">
        <v>45969</v>
      </c>
      <c r="B55" s="14">
        <v>1</v>
      </c>
      <c r="D55" s="13">
        <v>45969</v>
      </c>
      <c r="E55" s="14">
        <v>1</v>
      </c>
      <c r="H55" s="13">
        <v>45969</v>
      </c>
      <c r="I55" s="14">
        <v>1</v>
      </c>
      <c r="M55" s="13">
        <v>45969</v>
      </c>
      <c r="N55" s="14">
        <v>4600</v>
      </c>
    </row>
    <row r="56" spans="1:14">
      <c r="A56" s="13">
        <v>45974</v>
      </c>
      <c r="B56" s="14">
        <v>1</v>
      </c>
      <c r="D56" s="13">
        <v>45974</v>
      </c>
      <c r="E56" s="14">
        <v>1</v>
      </c>
      <c r="H56" s="13">
        <v>45974</v>
      </c>
      <c r="I56" s="14">
        <v>1</v>
      </c>
      <c r="M56" s="13">
        <v>45974</v>
      </c>
      <c r="N56" s="14">
        <v>3000</v>
      </c>
    </row>
    <row r="57" spans="1:14">
      <c r="A57" s="13">
        <v>45980</v>
      </c>
      <c r="B57" s="14">
        <v>1</v>
      </c>
      <c r="D57" s="13">
        <v>45980</v>
      </c>
      <c r="E57" s="14">
        <v>1</v>
      </c>
      <c r="H57" s="13">
        <v>45980</v>
      </c>
      <c r="I57" s="14">
        <v>1</v>
      </c>
      <c r="M57" s="13">
        <v>45980</v>
      </c>
      <c r="N57" s="14">
        <v>2100</v>
      </c>
    </row>
    <row r="58" spans="1:14">
      <c r="A58" s="13">
        <v>45986</v>
      </c>
      <c r="B58" s="14">
        <v>1</v>
      </c>
      <c r="D58" s="13">
        <v>45986</v>
      </c>
      <c r="E58" s="14">
        <v>1</v>
      </c>
      <c r="H58" s="13">
        <v>45986</v>
      </c>
      <c r="I58" s="14">
        <v>1</v>
      </c>
      <c r="M58" s="13">
        <v>45986</v>
      </c>
      <c r="N58" s="14">
        <v>2600</v>
      </c>
    </row>
    <row r="59" spans="1:14">
      <c r="A59" s="13">
        <v>45996</v>
      </c>
      <c r="B59" s="14">
        <v>1</v>
      </c>
      <c r="D59" s="13">
        <v>45996</v>
      </c>
      <c r="E59" s="14">
        <v>1</v>
      </c>
      <c r="H59" s="13">
        <v>45996</v>
      </c>
      <c r="I59" s="14">
        <v>1</v>
      </c>
      <c r="M59" s="13">
        <v>45996</v>
      </c>
      <c r="N59" s="14">
        <v>12000</v>
      </c>
    </row>
    <row r="60" spans="1:14">
      <c r="A60" s="13">
        <v>46000</v>
      </c>
      <c r="B60" s="14">
        <v>1</v>
      </c>
      <c r="D60" s="13">
        <v>46000</v>
      </c>
      <c r="E60" s="14">
        <v>1</v>
      </c>
      <c r="H60" s="13">
        <v>46000</v>
      </c>
      <c r="I60" s="14">
        <v>1</v>
      </c>
      <c r="M60" s="13">
        <v>46000</v>
      </c>
      <c r="N60" s="14">
        <v>5400</v>
      </c>
    </row>
    <row r="61" spans="1:14">
      <c r="A61" s="13">
        <v>46005</v>
      </c>
      <c r="B61" s="14">
        <v>1</v>
      </c>
      <c r="D61" s="13">
        <v>46005</v>
      </c>
      <c r="E61" s="14">
        <v>1</v>
      </c>
      <c r="H61" s="13">
        <v>46005</v>
      </c>
      <c r="I61" s="14">
        <v>1</v>
      </c>
      <c r="M61" s="13">
        <v>46005</v>
      </c>
      <c r="N61" s="14">
        <v>3600</v>
      </c>
    </row>
    <row r="62" spans="1:14">
      <c r="A62" s="13">
        <v>46011</v>
      </c>
      <c r="B62" s="14">
        <v>1</v>
      </c>
      <c r="D62" s="13">
        <v>46011</v>
      </c>
      <c r="E62" s="14">
        <v>1</v>
      </c>
      <c r="H62" s="13">
        <v>46011</v>
      </c>
      <c r="I62" s="14">
        <v>1</v>
      </c>
      <c r="M62" s="13">
        <v>46011</v>
      </c>
      <c r="N62" s="14">
        <v>4000</v>
      </c>
    </row>
    <row r="63" spans="1:14">
      <c r="A63" s="13">
        <v>46017</v>
      </c>
      <c r="B63" s="14">
        <v>1</v>
      </c>
      <c r="D63" s="13">
        <v>46017</v>
      </c>
      <c r="E63" s="14">
        <v>1</v>
      </c>
      <c r="H63" s="13">
        <v>46017</v>
      </c>
      <c r="I63" s="14">
        <v>1</v>
      </c>
      <c r="M63" s="13">
        <v>46017</v>
      </c>
      <c r="N63" s="14">
        <v>3000</v>
      </c>
    </row>
    <row r="64" spans="1:14">
      <c r="A64" s="13" t="s">
        <v>43</v>
      </c>
      <c r="B64" s="14">
        <v>60</v>
      </c>
      <c r="D64" s="13" t="s">
        <v>43</v>
      </c>
      <c r="E64" s="14">
        <v>60</v>
      </c>
      <c r="H64" s="13" t="s">
        <v>43</v>
      </c>
      <c r="I64" s="14">
        <v>60</v>
      </c>
      <c r="M64" s="13" t="s">
        <v>43</v>
      </c>
      <c r="N64" s="14">
        <v>295000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Y41" sqref="Y41"/>
    </sheetView>
  </sheetViews>
  <sheetFormatPr defaultRowHeight="14.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H5" sqref="H5"/>
    </sheetView>
  </sheetViews>
  <sheetFormatPr defaultRowHeight="14.25"/>
  <cols>
    <col min="1" max="1" width="12.5" customWidth="1"/>
    <col min="5" max="5" width="14" customWidth="1"/>
    <col min="8" max="8" width="31.25" customWidth="1"/>
  </cols>
  <sheetData>
    <row r="1" spans="1:8" ht="15.75">
      <c r="A1" s="1" t="s">
        <v>0</v>
      </c>
      <c r="B1" s="2" t="s">
        <v>1</v>
      </c>
      <c r="C1" s="2" t="s">
        <v>2</v>
      </c>
      <c r="D1" s="2" t="s">
        <v>3</v>
      </c>
      <c r="E1" s="2" t="s">
        <v>4</v>
      </c>
    </row>
    <row r="2" spans="1:8">
      <c r="A2" s="9">
        <v>45662</v>
      </c>
      <c r="B2" s="6" t="s">
        <v>5</v>
      </c>
      <c r="C2" s="6" t="s">
        <v>6</v>
      </c>
      <c r="D2" s="6" t="s">
        <v>7</v>
      </c>
      <c r="E2" s="6">
        <v>12000</v>
      </c>
    </row>
    <row r="3" spans="1:8">
      <c r="A3" s="10">
        <v>45665</v>
      </c>
      <c r="B3" s="7" t="s">
        <v>5</v>
      </c>
      <c r="C3" s="7" t="s">
        <v>8</v>
      </c>
      <c r="D3" s="7" t="s">
        <v>9</v>
      </c>
      <c r="E3" s="7">
        <v>4200</v>
      </c>
    </row>
    <row r="4" spans="1:8">
      <c r="A4" s="9">
        <v>45669</v>
      </c>
      <c r="B4" s="6" t="s">
        <v>5</v>
      </c>
      <c r="C4" s="6" t="s">
        <v>10</v>
      </c>
      <c r="D4" s="6" t="s">
        <v>11</v>
      </c>
      <c r="E4" s="6">
        <v>2800</v>
      </c>
    </row>
    <row r="5" spans="1:8" ht="15">
      <c r="A5" s="10">
        <v>45675</v>
      </c>
      <c r="B5" s="7" t="s">
        <v>5</v>
      </c>
      <c r="C5" s="7" t="s">
        <v>13</v>
      </c>
      <c r="D5" s="7" t="s">
        <v>14</v>
      </c>
      <c r="E5" s="7">
        <v>2300</v>
      </c>
      <c r="H5" s="3" t="s">
        <v>12</v>
      </c>
    </row>
    <row r="6" spans="1:8">
      <c r="A6" s="9">
        <v>45682</v>
      </c>
      <c r="B6" s="6" t="s">
        <v>5</v>
      </c>
      <c r="C6" s="6" t="s">
        <v>15</v>
      </c>
      <c r="D6" s="6" t="s">
        <v>16</v>
      </c>
      <c r="E6" s="6">
        <v>2600</v>
      </c>
      <c r="H6" s="4">
        <f>SUM(E3:E62)</f>
        <v>283000</v>
      </c>
    </row>
    <row r="7" spans="1:8">
      <c r="A7" s="10">
        <v>45693</v>
      </c>
      <c r="B7" s="7" t="s">
        <v>17</v>
      </c>
      <c r="C7" s="7" t="s">
        <v>6</v>
      </c>
      <c r="D7" s="7" t="s">
        <v>7</v>
      </c>
      <c r="E7" s="7">
        <v>12000</v>
      </c>
    </row>
    <row r="8" spans="1:8">
      <c r="A8" s="9">
        <v>45697</v>
      </c>
      <c r="B8" s="6" t="s">
        <v>17</v>
      </c>
      <c r="C8" s="6" t="s">
        <v>8</v>
      </c>
      <c r="D8" s="6" t="s">
        <v>9</v>
      </c>
      <c r="E8" s="6">
        <v>5100</v>
      </c>
    </row>
    <row r="9" spans="1:8">
      <c r="A9" s="10">
        <v>45700</v>
      </c>
      <c r="B9" s="7" t="s">
        <v>17</v>
      </c>
      <c r="C9" s="7" t="s">
        <v>10</v>
      </c>
      <c r="D9" s="7" t="s">
        <v>11</v>
      </c>
      <c r="E9" s="7">
        <v>3200</v>
      </c>
    </row>
    <row r="10" spans="1:8" ht="15">
      <c r="A10" s="9">
        <v>45706</v>
      </c>
      <c r="B10" s="6" t="s">
        <v>17</v>
      </c>
      <c r="C10" s="6" t="s">
        <v>13</v>
      </c>
      <c r="D10" s="6" t="s">
        <v>14</v>
      </c>
      <c r="E10" s="6">
        <v>1900</v>
      </c>
      <c r="H10" s="2" t="s">
        <v>18</v>
      </c>
    </row>
    <row r="11" spans="1:8">
      <c r="A11" s="10">
        <v>45712</v>
      </c>
      <c r="B11" s="7" t="s">
        <v>17</v>
      </c>
      <c r="C11" s="7" t="s">
        <v>15</v>
      </c>
      <c r="D11" s="7" t="s">
        <v>19</v>
      </c>
      <c r="E11" s="7">
        <v>2400</v>
      </c>
      <c r="H11" s="4">
        <f>SUMIF(C:C,"food",E:E)</f>
        <v>55800</v>
      </c>
    </row>
    <row r="12" spans="1:8">
      <c r="A12" s="9">
        <v>45721</v>
      </c>
      <c r="B12" s="6" t="s">
        <v>20</v>
      </c>
      <c r="C12" s="6" t="s">
        <v>6</v>
      </c>
      <c r="D12" s="6" t="s">
        <v>7</v>
      </c>
      <c r="E12" s="6">
        <v>12000</v>
      </c>
    </row>
    <row r="13" spans="1:8">
      <c r="A13" s="10">
        <v>45724</v>
      </c>
      <c r="B13" s="7" t="s">
        <v>20</v>
      </c>
      <c r="C13" s="7" t="s">
        <v>8</v>
      </c>
      <c r="D13" s="7" t="s">
        <v>9</v>
      </c>
      <c r="E13" s="7">
        <v>3900</v>
      </c>
    </row>
    <row r="14" spans="1:8" ht="15">
      <c r="A14" s="9">
        <v>45730</v>
      </c>
      <c r="B14" s="6" t="s">
        <v>20</v>
      </c>
      <c r="C14" s="6" t="s">
        <v>10</v>
      </c>
      <c r="D14" s="6" t="s">
        <v>22</v>
      </c>
      <c r="E14" s="6">
        <v>2600</v>
      </c>
      <c r="H14" s="2" t="s">
        <v>21</v>
      </c>
    </row>
    <row r="15" spans="1:8">
      <c r="A15" s="10">
        <v>45736</v>
      </c>
      <c r="B15" s="7" t="s">
        <v>20</v>
      </c>
      <c r="C15" s="7" t="s">
        <v>13</v>
      </c>
      <c r="D15" s="7" t="s">
        <v>23</v>
      </c>
      <c r="E15" s="7">
        <v>1500</v>
      </c>
      <c r="H15" s="4">
        <f>AVERAGE(E3:E62)</f>
        <v>4796.6101694915251</v>
      </c>
    </row>
    <row r="16" spans="1:8">
      <c r="A16" s="9">
        <v>45742</v>
      </c>
      <c r="B16" s="6" t="s">
        <v>20</v>
      </c>
      <c r="C16" s="6" t="s">
        <v>15</v>
      </c>
      <c r="D16" s="6" t="s">
        <v>16</v>
      </c>
      <c r="E16" s="6">
        <v>2300</v>
      </c>
    </row>
    <row r="17" spans="1:8">
      <c r="A17" s="10">
        <v>45752</v>
      </c>
      <c r="B17" s="7" t="s">
        <v>24</v>
      </c>
      <c r="C17" s="7" t="s">
        <v>6</v>
      </c>
      <c r="D17" s="7" t="s">
        <v>7</v>
      </c>
      <c r="E17" s="7">
        <v>12000</v>
      </c>
    </row>
    <row r="18" spans="1:8">
      <c r="A18" s="9">
        <v>45756</v>
      </c>
      <c r="B18" s="6" t="s">
        <v>24</v>
      </c>
      <c r="C18" s="6" t="s">
        <v>8</v>
      </c>
      <c r="D18" s="6" t="s">
        <v>9</v>
      </c>
      <c r="E18" s="6">
        <v>4500</v>
      </c>
      <c r="H18" s="5" t="s">
        <v>25</v>
      </c>
    </row>
    <row r="19" spans="1:8">
      <c r="A19" s="10">
        <v>45760</v>
      </c>
      <c r="B19" s="7" t="s">
        <v>24</v>
      </c>
      <c r="C19" s="7" t="s">
        <v>10</v>
      </c>
      <c r="D19" s="7" t="s">
        <v>26</v>
      </c>
      <c r="E19" s="7">
        <v>3000</v>
      </c>
      <c r="H19" s="4">
        <f>SUMIF(B:B,"January",E:E)</f>
        <v>23900</v>
      </c>
    </row>
    <row r="20" spans="1:8">
      <c r="A20" s="9">
        <v>45766</v>
      </c>
      <c r="B20" s="6" t="s">
        <v>24</v>
      </c>
      <c r="C20" s="6" t="s">
        <v>13</v>
      </c>
      <c r="D20" s="6" t="s">
        <v>14</v>
      </c>
      <c r="E20" s="6">
        <v>2200</v>
      </c>
    </row>
    <row r="21" spans="1:8">
      <c r="A21" s="10">
        <v>45772</v>
      </c>
      <c r="B21" s="7" t="s">
        <v>24</v>
      </c>
      <c r="C21" s="7" t="s">
        <v>15</v>
      </c>
      <c r="D21" s="7" t="s">
        <v>16</v>
      </c>
      <c r="E21" s="7">
        <v>2500</v>
      </c>
    </row>
    <row r="22" spans="1:8">
      <c r="A22" s="9">
        <v>45782</v>
      </c>
      <c r="B22" s="6" t="s">
        <v>28</v>
      </c>
      <c r="C22" s="6" t="s">
        <v>6</v>
      </c>
      <c r="D22" s="6" t="s">
        <v>7</v>
      </c>
      <c r="E22" s="6">
        <v>12000</v>
      </c>
      <c r="H22" s="5" t="s">
        <v>27</v>
      </c>
    </row>
    <row r="23" spans="1:8">
      <c r="A23" s="10">
        <v>45785</v>
      </c>
      <c r="B23" s="7" t="s">
        <v>28</v>
      </c>
      <c r="C23" s="7" t="s">
        <v>8</v>
      </c>
      <c r="D23" s="7" t="s">
        <v>9</v>
      </c>
      <c r="E23" s="7">
        <v>4800</v>
      </c>
      <c r="H23" s="4">
        <f>SUMIFS(E:E,B:B,"January",C:C,"Food")</f>
        <v>4200</v>
      </c>
    </row>
    <row r="24" spans="1:8">
      <c r="A24" s="9">
        <v>45791</v>
      </c>
      <c r="B24" s="6" t="s">
        <v>28</v>
      </c>
      <c r="C24" s="6" t="s">
        <v>10</v>
      </c>
      <c r="D24" s="6" t="s">
        <v>26</v>
      </c>
      <c r="E24" s="6">
        <v>2900</v>
      </c>
    </row>
    <row r="25" spans="1:8">
      <c r="A25" s="10">
        <v>45797</v>
      </c>
      <c r="B25" s="7" t="s">
        <v>28</v>
      </c>
      <c r="C25" s="7" t="s">
        <v>13</v>
      </c>
      <c r="D25" s="7" t="s">
        <v>29</v>
      </c>
      <c r="E25" s="7">
        <v>2100</v>
      </c>
    </row>
    <row r="26" spans="1:8">
      <c r="A26" s="9">
        <v>45803</v>
      </c>
      <c r="B26" s="6" t="s">
        <v>28</v>
      </c>
      <c r="C26" s="6" t="s">
        <v>15</v>
      </c>
      <c r="D26" s="6" t="s">
        <v>16</v>
      </c>
      <c r="E26" s="6">
        <v>2600</v>
      </c>
    </row>
    <row r="27" spans="1:8">
      <c r="A27" s="10">
        <v>45813</v>
      </c>
      <c r="B27" s="7" t="s">
        <v>30</v>
      </c>
      <c r="C27" s="7" t="s">
        <v>6</v>
      </c>
      <c r="D27" s="7" t="s">
        <v>7</v>
      </c>
      <c r="E27" s="7">
        <v>12000</v>
      </c>
    </row>
    <row r="28" spans="1:8">
      <c r="A28" s="9">
        <v>45817</v>
      </c>
      <c r="B28" s="6" t="s">
        <v>30</v>
      </c>
      <c r="C28" s="6" t="s">
        <v>8</v>
      </c>
      <c r="D28" s="6" t="s">
        <v>9</v>
      </c>
      <c r="E28" s="6">
        <v>5200</v>
      </c>
      <c r="H28" s="5" t="s">
        <v>31</v>
      </c>
    </row>
    <row r="29" spans="1:8">
      <c r="A29" s="10">
        <v>45821</v>
      </c>
      <c r="B29" s="7" t="s">
        <v>30</v>
      </c>
      <c r="C29" s="7" t="s">
        <v>10</v>
      </c>
      <c r="D29" s="7" t="s">
        <v>26</v>
      </c>
      <c r="E29" s="7">
        <v>3300</v>
      </c>
      <c r="H29" s="4">
        <f>AVERAGEIF(B:B,"January",E:E)</f>
        <v>4780</v>
      </c>
    </row>
    <row r="30" spans="1:8">
      <c r="A30" s="9">
        <v>45826</v>
      </c>
      <c r="B30" s="6" t="s">
        <v>30</v>
      </c>
      <c r="C30" s="6" t="s">
        <v>13</v>
      </c>
      <c r="D30" s="6" t="s">
        <v>32</v>
      </c>
      <c r="E30" s="6">
        <v>2800</v>
      </c>
    </row>
    <row r="31" spans="1:8">
      <c r="A31" s="10">
        <v>45833</v>
      </c>
      <c r="B31" s="7" t="s">
        <v>30</v>
      </c>
      <c r="C31" s="7" t="s">
        <v>15</v>
      </c>
      <c r="D31" s="7" t="s">
        <v>16</v>
      </c>
      <c r="E31" s="7">
        <v>2700</v>
      </c>
    </row>
    <row r="32" spans="1:8">
      <c r="A32" s="9">
        <v>45843</v>
      </c>
      <c r="B32" s="6" t="s">
        <v>33</v>
      </c>
      <c r="C32" s="6" t="s">
        <v>6</v>
      </c>
      <c r="D32" s="6" t="s">
        <v>7</v>
      </c>
      <c r="E32" s="6">
        <v>12000</v>
      </c>
    </row>
    <row r="33" spans="1:5">
      <c r="A33" s="10">
        <v>45846</v>
      </c>
      <c r="B33" s="7" t="s">
        <v>33</v>
      </c>
      <c r="C33" s="7" t="s">
        <v>8</v>
      </c>
      <c r="D33" s="7" t="s">
        <v>9</v>
      </c>
      <c r="E33" s="7">
        <v>4100</v>
      </c>
    </row>
    <row r="34" spans="1:5">
      <c r="A34" s="9">
        <v>45850</v>
      </c>
      <c r="B34" s="6" t="s">
        <v>33</v>
      </c>
      <c r="C34" s="6" t="s">
        <v>10</v>
      </c>
      <c r="D34" s="6" t="s">
        <v>22</v>
      </c>
      <c r="E34" s="6">
        <v>2600</v>
      </c>
    </row>
    <row r="35" spans="1:5">
      <c r="A35" s="10">
        <v>45857</v>
      </c>
      <c r="B35" s="7" t="s">
        <v>33</v>
      </c>
      <c r="C35" s="7" t="s">
        <v>13</v>
      </c>
      <c r="D35" s="7" t="s">
        <v>14</v>
      </c>
      <c r="E35" s="7">
        <v>1800</v>
      </c>
    </row>
    <row r="36" spans="1:5">
      <c r="A36" s="9">
        <v>45864</v>
      </c>
      <c r="B36" s="6" t="s">
        <v>33</v>
      </c>
      <c r="C36" s="6" t="s">
        <v>15</v>
      </c>
      <c r="D36" s="6" t="s">
        <v>16</v>
      </c>
      <c r="E36" s="6">
        <v>2400</v>
      </c>
    </row>
    <row r="37" spans="1:5">
      <c r="A37" s="10">
        <v>45874</v>
      </c>
      <c r="B37" s="7" t="s">
        <v>34</v>
      </c>
      <c r="C37" s="7" t="s">
        <v>6</v>
      </c>
      <c r="D37" s="7" t="s">
        <v>7</v>
      </c>
      <c r="E37" s="7">
        <v>12000</v>
      </c>
    </row>
    <row r="38" spans="1:5">
      <c r="A38" s="9">
        <v>45878</v>
      </c>
      <c r="B38" s="6" t="s">
        <v>34</v>
      </c>
      <c r="C38" s="6" t="s">
        <v>8</v>
      </c>
      <c r="D38" s="6" t="s">
        <v>9</v>
      </c>
      <c r="E38" s="6">
        <v>4700</v>
      </c>
    </row>
    <row r="39" spans="1:5">
      <c r="A39" s="10">
        <v>45883</v>
      </c>
      <c r="B39" s="7" t="s">
        <v>34</v>
      </c>
      <c r="C39" s="7" t="s">
        <v>10</v>
      </c>
      <c r="D39" s="7" t="s">
        <v>26</v>
      </c>
      <c r="E39" s="7">
        <v>3100</v>
      </c>
    </row>
    <row r="40" spans="1:5">
      <c r="A40" s="9">
        <v>45889</v>
      </c>
      <c r="B40" s="6" t="s">
        <v>34</v>
      </c>
      <c r="C40" s="6" t="s">
        <v>13</v>
      </c>
      <c r="D40" s="6" t="s">
        <v>29</v>
      </c>
      <c r="E40" s="6">
        <v>2200</v>
      </c>
    </row>
    <row r="41" spans="1:5">
      <c r="A41" s="10">
        <v>45895</v>
      </c>
      <c r="B41" s="7" t="s">
        <v>34</v>
      </c>
      <c r="C41" s="7" t="s">
        <v>15</v>
      </c>
      <c r="D41" s="7" t="s">
        <v>16</v>
      </c>
      <c r="E41" s="7">
        <v>2500</v>
      </c>
    </row>
    <row r="42" spans="1:5">
      <c r="A42" s="9">
        <v>45905</v>
      </c>
      <c r="B42" s="6" t="s">
        <v>35</v>
      </c>
      <c r="C42" s="6" t="s">
        <v>6</v>
      </c>
      <c r="D42" s="6" t="s">
        <v>7</v>
      </c>
      <c r="E42" s="6">
        <v>12000</v>
      </c>
    </row>
    <row r="43" spans="1:5">
      <c r="A43" s="10">
        <v>45908</v>
      </c>
      <c r="B43" s="7" t="s">
        <v>35</v>
      </c>
      <c r="C43" s="7" t="s">
        <v>8</v>
      </c>
      <c r="D43" s="7" t="s">
        <v>9</v>
      </c>
      <c r="E43" s="7">
        <v>4300</v>
      </c>
    </row>
    <row r="44" spans="1:5">
      <c r="A44" s="9">
        <v>45913</v>
      </c>
      <c r="B44" s="6" t="s">
        <v>35</v>
      </c>
      <c r="C44" s="6" t="s">
        <v>10</v>
      </c>
      <c r="D44" s="6" t="s">
        <v>22</v>
      </c>
      <c r="E44" s="6">
        <v>2700</v>
      </c>
    </row>
    <row r="45" spans="1:5">
      <c r="A45" s="10">
        <v>45918</v>
      </c>
      <c r="B45" s="7" t="s">
        <v>35</v>
      </c>
      <c r="C45" s="7" t="s">
        <v>13</v>
      </c>
      <c r="D45" s="7" t="s">
        <v>23</v>
      </c>
      <c r="E45" s="7">
        <v>2000</v>
      </c>
    </row>
    <row r="46" spans="1:5">
      <c r="A46" s="9">
        <v>45925</v>
      </c>
      <c r="B46" s="6" t="s">
        <v>35</v>
      </c>
      <c r="C46" s="6" t="s">
        <v>15</v>
      </c>
      <c r="D46" s="6" t="s">
        <v>16</v>
      </c>
      <c r="E46" s="6">
        <v>2400</v>
      </c>
    </row>
    <row r="47" spans="1:5">
      <c r="A47" s="10">
        <v>45935</v>
      </c>
      <c r="B47" s="7" t="s">
        <v>36</v>
      </c>
      <c r="C47" s="7" t="s">
        <v>6</v>
      </c>
      <c r="D47" s="7" t="s">
        <v>7</v>
      </c>
      <c r="E47" s="7">
        <v>12000</v>
      </c>
    </row>
    <row r="48" spans="1:5">
      <c r="A48" s="9">
        <v>45939</v>
      </c>
      <c r="B48" s="6" t="s">
        <v>36</v>
      </c>
      <c r="C48" s="6" t="s">
        <v>8</v>
      </c>
      <c r="D48" s="6" t="s">
        <v>9</v>
      </c>
      <c r="E48" s="6">
        <v>5000</v>
      </c>
    </row>
    <row r="49" spans="1:5">
      <c r="A49" s="10">
        <v>45944</v>
      </c>
      <c r="B49" s="7" t="s">
        <v>36</v>
      </c>
      <c r="C49" s="7" t="s">
        <v>10</v>
      </c>
      <c r="D49" s="7" t="s">
        <v>26</v>
      </c>
      <c r="E49" s="7">
        <v>3200</v>
      </c>
    </row>
    <row r="50" spans="1:5">
      <c r="A50" s="9">
        <v>45950</v>
      </c>
      <c r="B50" s="6" t="s">
        <v>36</v>
      </c>
      <c r="C50" s="6" t="s">
        <v>13</v>
      </c>
      <c r="D50" s="6" t="s">
        <v>37</v>
      </c>
      <c r="E50" s="6">
        <v>3500</v>
      </c>
    </row>
    <row r="51" spans="1:5">
      <c r="A51" s="10">
        <v>45956</v>
      </c>
      <c r="B51" s="7" t="s">
        <v>36</v>
      </c>
      <c r="C51" s="7" t="s">
        <v>15</v>
      </c>
      <c r="D51" s="7" t="s">
        <v>16</v>
      </c>
      <c r="E51" s="7">
        <v>2800</v>
      </c>
    </row>
    <row r="52" spans="1:5">
      <c r="A52" s="9">
        <v>45966</v>
      </c>
      <c r="B52" s="6" t="s">
        <v>38</v>
      </c>
      <c r="C52" s="6" t="s">
        <v>6</v>
      </c>
      <c r="D52" s="6" t="s">
        <v>7</v>
      </c>
      <c r="E52" s="6">
        <v>12000</v>
      </c>
    </row>
    <row r="53" spans="1:5">
      <c r="A53" s="10">
        <v>45969</v>
      </c>
      <c r="B53" s="7" t="s">
        <v>38</v>
      </c>
      <c r="C53" s="7" t="s">
        <v>8</v>
      </c>
      <c r="D53" s="7" t="s">
        <v>9</v>
      </c>
      <c r="E53" s="7">
        <v>4600</v>
      </c>
    </row>
    <row r="54" spans="1:5">
      <c r="A54" s="9">
        <v>45974</v>
      </c>
      <c r="B54" s="6" t="s">
        <v>38</v>
      </c>
      <c r="C54" s="6" t="s">
        <v>10</v>
      </c>
      <c r="D54" s="6" t="s">
        <v>26</v>
      </c>
      <c r="E54" s="6">
        <v>3000</v>
      </c>
    </row>
    <row r="55" spans="1:5">
      <c r="A55" s="10">
        <v>45980</v>
      </c>
      <c r="B55" s="7" t="s">
        <v>38</v>
      </c>
      <c r="C55" s="7" t="s">
        <v>13</v>
      </c>
      <c r="D55" s="7" t="s">
        <v>14</v>
      </c>
      <c r="E55" s="7">
        <v>2100</v>
      </c>
    </row>
    <row r="56" spans="1:5">
      <c r="A56" s="9">
        <v>45986</v>
      </c>
      <c r="B56" s="6" t="s">
        <v>38</v>
      </c>
      <c r="C56" s="6" t="s">
        <v>15</v>
      </c>
      <c r="D56" s="6" t="s">
        <v>16</v>
      </c>
      <c r="E56" s="6">
        <v>2600</v>
      </c>
    </row>
    <row r="57" spans="1:5">
      <c r="A57" s="10">
        <v>45996</v>
      </c>
      <c r="B57" s="7" t="s">
        <v>39</v>
      </c>
      <c r="C57" s="7" t="s">
        <v>6</v>
      </c>
      <c r="D57" s="7" t="s">
        <v>7</v>
      </c>
      <c r="E57" s="7">
        <v>12000</v>
      </c>
    </row>
    <row r="58" spans="1:5">
      <c r="A58" s="9">
        <v>46000</v>
      </c>
      <c r="B58" s="6" t="s">
        <v>39</v>
      </c>
      <c r="C58" s="6" t="s">
        <v>8</v>
      </c>
      <c r="D58" s="6" t="s">
        <v>9</v>
      </c>
      <c r="E58" s="6">
        <v>5400</v>
      </c>
    </row>
    <row r="59" spans="1:5">
      <c r="A59" s="10">
        <v>46005</v>
      </c>
      <c r="B59" s="7" t="s">
        <v>39</v>
      </c>
      <c r="C59" s="7" t="s">
        <v>10</v>
      </c>
      <c r="D59" s="7" t="s">
        <v>40</v>
      </c>
      <c r="E59" s="7">
        <v>3600</v>
      </c>
    </row>
    <row r="60" spans="1:5">
      <c r="A60" s="9">
        <v>46011</v>
      </c>
      <c r="B60" s="6" t="s">
        <v>39</v>
      </c>
      <c r="C60" s="6" t="s">
        <v>13</v>
      </c>
      <c r="D60" s="6" t="s">
        <v>41</v>
      </c>
      <c r="E60" s="6">
        <v>4000</v>
      </c>
    </row>
    <row r="61" spans="1:5">
      <c r="A61" s="11">
        <v>46017</v>
      </c>
      <c r="B61" s="8" t="s">
        <v>39</v>
      </c>
      <c r="C61" s="8" t="s">
        <v>15</v>
      </c>
      <c r="D61" s="8" t="s">
        <v>16</v>
      </c>
      <c r="E61" s="8">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2026-01-21T06:45:34Z</dcterms:modified>
</cp:coreProperties>
</file>